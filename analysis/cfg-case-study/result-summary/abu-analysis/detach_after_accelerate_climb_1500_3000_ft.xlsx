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240"/>
  </bookViews>
  <sheets>
    <sheet name="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<sst xmlns="http://schemas.openxmlformats.org/spreadsheetml/2006/main" count="157" uniqueCount="59">
  <si>
    <t>ABUs' assumptions:</t>
  </si>
  <si>
    <t>Parameters</t>
  </si>
  <si>
    <t>Value</t>
  </si>
  <si>
    <t>Note</t>
  </si>
  <si>
    <r>
      <rPr>
        <b/>
        <u/>
        <sz val="11"/>
        <color theme="1"/>
        <rFont val="Calibri"/>
        <charset val="134"/>
        <scheme val="minor"/>
      </rPr>
      <t>Note</t>
    </r>
    <r>
      <rPr>
        <b/>
        <sz val="11"/>
        <color theme="1"/>
        <rFont val="Calibri"/>
        <charset val="134"/>
        <scheme val="minor"/>
      </rPr>
      <t>:</t>
    </r>
  </si>
  <si>
    <t>- Detachment occurs after Accelerate Climb (before Cruise) segment</t>
  </si>
  <si>
    <t>Number of ABUs attached</t>
  </si>
  <si>
    <t>n_abus</t>
  </si>
  <si>
    <t>Usable energy reserved to assist aircraft (kWh)</t>
  </si>
  <si>
    <t>E_abu_mission_total_kwh</t>
  </si>
  <si>
    <t>Energy reserved for ABU's own safe operations after detach (kWh)</t>
  </si>
  <si>
    <t>E_abu_ops_total_kwh</t>
  </si>
  <si>
    <t>Structural weight (kg)</t>
  </si>
  <si>
    <t>m_struct_total_kg</t>
  </si>
  <si>
    <t>Integration hardware weight (kg)</t>
  </si>
  <si>
    <t>m_integration_total_kg</t>
  </si>
  <si>
    <t>Archer Midnight</t>
  </si>
  <si>
    <t>Altitude</t>
  </si>
  <si>
    <t>Mission Range</t>
  </si>
  <si>
    <t>Aircraft's Battery Weight</t>
  </si>
  <si>
    <t>MTOW</t>
  </si>
  <si>
    <t>Total Mission Energy</t>
  </si>
  <si>
    <t>ABU(s)</t>
  </si>
  <si>
    <t>Baseline
(kg)</t>
  </si>
  <si>
    <t>Battery Weight Offloaded
(kg)</t>
  </si>
  <si>
    <t>New Battery Weight
(After ABU Support)
(kg)</t>
  </si>
  <si>
    <t>% Difference</t>
  </si>
  <si>
    <t>ABU Attached
(kg)</t>
  </si>
  <si>
    <t>ABU Detached
(kg)</t>
  </si>
  <si>
    <t>Baseline
(kWh)</t>
  </si>
  <si>
    <t>Aircraft
(After ABU &amp; Detach)
(kWh)</t>
  </si>
  <si>
    <t>Mission Energy
(kwh)</t>
  </si>
  <si>
    <t>Rotor Weight Estimation
(kg)</t>
  </si>
  <si>
    <t>ABU's Battery Weight
(kg)</t>
  </si>
  <si>
    <t>ABU's Self Operations Battery Weight
(kg)</t>
  </si>
  <si>
    <t>Total Weight
(Total)
(kg)</t>
  </si>
  <si>
    <t>baseline_batt_mass_kg</t>
  </si>
  <si>
    <t>batt_mass_offloaded_kg</t>
  </si>
  <si>
    <t>main_batt_new_kg</t>
  </si>
  <si>
    <t>MTOW_attached_kg</t>
  </si>
  <si>
    <t>MTOW_detached_kg</t>
  </si>
  <si>
    <t>baseline_total_mission_kwh</t>
  </si>
  <si>
    <t>aircraft_total_kwh_after</t>
  </si>
  <si>
    <t>E_abu_used_kwh</t>
  </si>
  <si>
    <t>m_rotor_total_kg</t>
  </si>
  <si>
    <t>m_batt_mission_total_kg</t>
  </si>
  <si>
    <t>m_batt_ops_total_kg</t>
  </si>
  <si>
    <t>m_abu_total_all_kg</t>
  </si>
  <si>
    <t>30 mi</t>
  </si>
  <si>
    <t>45 mi</t>
  </si>
  <si>
    <t>60 mi</t>
  </si>
  <si>
    <t>1500 ft</t>
  </si>
  <si>
    <t>1500ft</t>
  </si>
  <si>
    <t>(Formula)</t>
  </si>
  <si>
    <t>Joby S4</t>
  </si>
  <si>
    <t>Supermal S-A2</t>
  </si>
  <si>
    <t>3000ft</t>
  </si>
  <si>
    <t>3000 ft</t>
  </si>
  <si>
    <t>Supernal S-A2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</si>
</sst>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_ "/>
    <numFmt numFmtId="179" formatCode="0.0%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1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18" applyNumberFormat="0" applyAlignment="0" applyProtection="0">
      <alignment vertical="center"/>
    </xf>
    <xf numFmtId="0" fontId="15" fillId="9" borderId="19" applyNumberFormat="0" applyAlignment="0" applyProtection="0">
      <alignment vertical="center"/>
    </xf>
    <xf numFmtId="0" fontId="16" fillId="9" borderId="18" applyNumberFormat="0" applyAlignment="0" applyProtection="0">
      <alignment vertical="center"/>
    </xf>
    <xf numFmtId="0" fontId="17" fillId="10" borderId="20" applyNumberFormat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89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1" fillId="3" borderId="0" xfId="0" applyFont="1" applyFill="1" applyAlignment="1">
      <alignment horizontal="center" vertical="center"/>
    </xf>
    <xf numFmtId="0" fontId="0" fillId="0" borderId="10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0" fillId="4" borderId="5" xfId="0" applyFont="1" applyFill="1" applyBorder="1" applyAlignment="1">
      <alignment horizontal="center" vertical="center"/>
    </xf>
    <xf numFmtId="0" fontId="0" fillId="4" borderId="6" xfId="0" applyFont="1" applyFill="1" applyBorder="1" applyAlignment="1">
      <alignment horizontal="center" vertical="center"/>
    </xf>
    <xf numFmtId="178" fontId="0" fillId="4" borderId="12" xfId="0" applyNumberFormat="1" applyFill="1" applyBorder="1" applyAlignment="1">
      <alignment horizontal="center" vertical="center" wrapText="1"/>
    </xf>
    <xf numFmtId="178" fontId="0" fillId="4" borderId="13" xfId="0" applyNumberFormat="1" applyFill="1" applyBorder="1" applyAlignment="1">
      <alignment horizontal="center" vertical="center" wrapText="1"/>
    </xf>
    <xf numFmtId="179" fontId="0" fillId="4" borderId="13" xfId="3" applyNumberForma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178" fontId="4" fillId="4" borderId="4" xfId="0" applyNumberFormat="1" applyFont="1" applyFill="1" applyBorder="1" applyAlignment="1">
      <alignment horizontal="center" vertical="center"/>
    </xf>
    <xf numFmtId="178" fontId="4" fillId="4" borderId="0" xfId="0" applyNumberFormat="1" applyFont="1" applyFill="1" applyAlignment="1">
      <alignment horizontal="center" vertical="center" wrapText="1"/>
    </xf>
    <xf numFmtId="179" fontId="4" fillId="4" borderId="0" xfId="3" applyNumberFormat="1" applyFont="1" applyFill="1" applyBorder="1" applyAlignment="1">
      <alignment horizontal="center" vertical="center" wrapText="1"/>
    </xf>
    <xf numFmtId="178" fontId="4" fillId="4" borderId="4" xfId="0" applyNumberFormat="1" applyFont="1" applyFill="1" applyBorder="1" applyAlignment="1">
      <alignment horizontal="center" vertical="center" wrapText="1"/>
    </xf>
    <xf numFmtId="178" fontId="4" fillId="4" borderId="0" xfId="0" applyNumberFormat="1" applyFont="1" applyFill="1" applyBorder="1" applyAlignment="1">
      <alignment horizontal="center" vertical="center" wrapText="1"/>
    </xf>
    <xf numFmtId="178" fontId="0" fillId="4" borderId="4" xfId="0" applyNumberFormat="1" applyFill="1" applyBorder="1" applyAlignment="1">
      <alignment horizontal="center" vertical="center"/>
    </xf>
    <xf numFmtId="178" fontId="0" fillId="4" borderId="0" xfId="0" applyNumberFormat="1" applyFill="1" applyAlignment="1">
      <alignment horizontal="center" vertical="center" wrapText="1"/>
    </xf>
    <xf numFmtId="179" fontId="0" fillId="4" borderId="0" xfId="3" applyNumberFormat="1" applyFill="1" applyBorder="1" applyAlignment="1">
      <alignment horizontal="center" vertical="center" wrapText="1"/>
    </xf>
    <xf numFmtId="178" fontId="0" fillId="4" borderId="4" xfId="0" applyNumberFormat="1" applyFill="1" applyBorder="1" applyAlignment="1">
      <alignment horizontal="center" vertical="center" wrapText="1"/>
    </xf>
    <xf numFmtId="178" fontId="0" fillId="4" borderId="0" xfId="0" applyNumberForma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178" fontId="0" fillId="0" borderId="4" xfId="0" applyNumberFormat="1" applyFill="1" applyBorder="1" applyAlignment="1">
      <alignment horizontal="center" vertical="center"/>
    </xf>
    <xf numFmtId="178" fontId="0" fillId="0" borderId="0" xfId="0" applyNumberFormat="1" applyAlignment="1">
      <alignment horizontal="center" vertical="center" wrapText="1"/>
    </xf>
    <xf numFmtId="179" fontId="0" fillId="5" borderId="0" xfId="3" applyNumberFormat="1" applyFill="1" applyBorder="1" applyAlignment="1">
      <alignment horizontal="center" vertical="center" wrapText="1"/>
    </xf>
    <xf numFmtId="178" fontId="0" fillId="0" borderId="4" xfId="0" applyNumberFormat="1" applyBorder="1" applyAlignment="1">
      <alignment horizontal="center" vertical="center" wrapText="1"/>
    </xf>
    <xf numFmtId="178" fontId="0" fillId="0" borderId="0" xfId="0" applyNumberFormat="1" applyBorder="1" applyAlignment="1">
      <alignment horizontal="center" vertical="center" wrapText="1"/>
    </xf>
    <xf numFmtId="179" fontId="0" fillId="0" borderId="0" xfId="3" applyNumberFormat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178" fontId="0" fillId="0" borderId="7" xfId="0" applyNumberFormat="1" applyFill="1" applyBorder="1" applyAlignment="1">
      <alignment horizontal="center" vertical="center"/>
    </xf>
    <xf numFmtId="178" fontId="0" fillId="0" borderId="14" xfId="0" applyNumberFormat="1" applyBorder="1" applyAlignment="1">
      <alignment horizontal="center" vertical="center" wrapText="1"/>
    </xf>
    <xf numFmtId="179" fontId="0" fillId="0" borderId="14" xfId="3" applyNumberFormat="1" applyBorder="1" applyAlignment="1">
      <alignment horizontal="center" vertical="center" wrapText="1"/>
    </xf>
    <xf numFmtId="178" fontId="0" fillId="0" borderId="7" xfId="0" applyNumberFormat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79" fontId="0" fillId="4" borderId="11" xfId="3" applyNumberFormat="1" applyFill="1" applyBorder="1" applyAlignment="1">
      <alignment horizontal="center" vertical="center" wrapText="1"/>
    </xf>
    <xf numFmtId="178" fontId="0" fillId="6" borderId="13" xfId="0" applyNumberFormat="1" applyFill="1" applyBorder="1" applyAlignment="1">
      <alignment horizontal="center" vertical="center" wrapText="1"/>
    </xf>
    <xf numFmtId="179" fontId="4" fillId="4" borderId="6" xfId="3" applyNumberFormat="1" applyFont="1" applyFill="1" applyBorder="1" applyAlignment="1">
      <alignment horizontal="center" vertical="center" wrapText="1"/>
    </xf>
    <xf numFmtId="179" fontId="0" fillId="4" borderId="6" xfId="0" applyNumberFormat="1" applyFill="1" applyBorder="1" applyAlignment="1">
      <alignment horizontal="center" vertical="center" wrapText="1"/>
    </xf>
    <xf numFmtId="179" fontId="0" fillId="4" borderId="6" xfId="3" applyNumberFormat="1" applyFill="1" applyBorder="1" applyAlignment="1">
      <alignment horizontal="center" vertical="center" wrapText="1"/>
    </xf>
    <xf numFmtId="179" fontId="0" fillId="0" borderId="6" xfId="0" applyNumberFormat="1" applyBorder="1" applyAlignment="1">
      <alignment horizontal="center" vertical="center" wrapText="1"/>
    </xf>
    <xf numFmtId="179" fontId="0" fillId="5" borderId="6" xfId="3" applyNumberFormat="1" applyFill="1" applyBorder="1" applyAlignment="1">
      <alignment horizontal="center" vertical="center" wrapText="1"/>
    </xf>
    <xf numFmtId="178" fontId="0" fillId="6" borderId="0" xfId="0" applyNumberFormat="1" applyFill="1" applyAlignment="1">
      <alignment horizontal="center" vertical="center" wrapText="1"/>
    </xf>
    <xf numFmtId="179" fontId="0" fillId="0" borderId="6" xfId="3" applyNumberFormat="1" applyBorder="1" applyAlignment="1">
      <alignment horizontal="center" vertical="center" wrapText="1"/>
    </xf>
    <xf numFmtId="179" fontId="0" fillId="0" borderId="9" xfId="0" applyNumberFormat="1" applyBorder="1" applyAlignment="1">
      <alignment horizontal="center" vertical="center" wrapText="1"/>
    </xf>
    <xf numFmtId="179" fontId="0" fillId="0" borderId="9" xfId="3" applyNumberFormat="1" applyBorder="1" applyAlignment="1">
      <alignment horizontal="center" vertical="center" wrapText="1"/>
    </xf>
    <xf numFmtId="178" fontId="0" fillId="4" borderId="6" xfId="0" applyNumberFormat="1" applyFill="1" applyBorder="1" applyAlignment="1">
      <alignment horizontal="center" vertical="center" wrapText="1"/>
    </xf>
    <xf numFmtId="178" fontId="0" fillId="0" borderId="6" xfId="0" applyNumberFormat="1" applyBorder="1" applyAlignment="1">
      <alignment horizontal="center" vertical="center" wrapText="1"/>
    </xf>
    <xf numFmtId="178" fontId="0" fillId="0" borderId="9" xfId="0" applyNumberFormat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178" fontId="5" fillId="4" borderId="6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 vertical="center"/>
    </xf>
    <xf numFmtId="179" fontId="0" fillId="0" borderId="0" xfId="3" applyNumberFormat="1" applyAlignment="1">
      <alignment horizontal="left" vertical="center"/>
    </xf>
    <xf numFmtId="179" fontId="0" fillId="0" borderId="6" xfId="3" applyNumberFormat="1" applyBorder="1" applyAlignment="1">
      <alignment horizontal="left" vertical="center"/>
    </xf>
    <xf numFmtId="178" fontId="4" fillId="4" borderId="6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179" fontId="0" fillId="0" borderId="14" xfId="3" applyNumberFormat="1" applyBorder="1" applyAlignment="1">
      <alignment horizontal="left" vertical="center"/>
    </xf>
    <xf numFmtId="179" fontId="0" fillId="0" borderId="9" xfId="3" applyNumberFormat="1" applyBorder="1" applyAlignment="1">
      <alignment horizontal="left" vertical="center"/>
    </xf>
    <xf numFmtId="0" fontId="0" fillId="0" borderId="0" xfId="0" applyAlignment="1" quotePrefix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altLang="en-US" sz="2000"/>
              <a:t>Impact of ABU-Assisted Takeoff on Battery Mass Reduction</a:t>
            </a:r>
            <a:endParaRPr lang="vi-VN" altLang="en-US" sz="2000"/>
          </a:p>
        </c:rich>
      </c:tx>
      <c:layout>
        <c:manualLayout>
          <c:xMode val="edge"/>
          <c:yMode val="edge"/>
          <c:x val="0.142333346165174"/>
          <c:y val="0.026474539126430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All!$V$12</c:f>
              <c:strCache>
                <c:ptCount val="1"/>
                <c:pt idx="0">
                  <c:v>30 mi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All!$T$13:$U$18</c:f>
              <c:multiLvlStrCache>
                <c:ptCount val="6"/>
                <c:lvl>
                  <c:pt idx="0">
                    <c:v>Archer Midnight</c:v>
                  </c:pt>
                  <c:pt idx="1">
                    <c:v>Joby S4</c:v>
                  </c:pt>
                  <c:pt idx="2">
                    <c:v>Supermal S-A2</c:v>
                  </c:pt>
                  <c:pt idx="3">
                    <c:v>Archer Midnight</c:v>
                  </c:pt>
                  <c:pt idx="4">
                    <c:v>Joby S4</c:v>
                  </c:pt>
                  <c:pt idx="5">
                    <c:v>Supermal S-A2</c:v>
                  </c:pt>
                </c:lvl>
                <c:lvl>
                  <c:pt idx="0">
                    <c:v>1500ft</c:v>
                  </c:pt>
                  <c:pt idx="3">
                    <c:v>3000ft</c:v>
                  </c:pt>
                </c:lvl>
              </c:multiLvlStrCache>
            </c:multiLvlStrRef>
          </c:cat>
          <c:val>
            <c:numRef>
              <c:f>All!$V$13:$V$18</c:f>
              <c:numCache>
                <c:formatCode>0.0%</c:formatCode>
                <c:ptCount val="6"/>
                <c:pt idx="0">
                  <c:v>0.120545924743764</c:v>
                </c:pt>
                <c:pt idx="1">
                  <c:v>0.15384350336785</c:v>
                </c:pt>
                <c:pt idx="2">
                  <c:v>0.117097636753174</c:v>
                </c:pt>
                <c:pt idx="3">
                  <c:v>0.19523895679036</c:v>
                </c:pt>
                <c:pt idx="4">
                  <c:v>0.234611676084082</c:v>
                </c:pt>
                <c:pt idx="5">
                  <c:v>0.191752468903442</c:v>
                </c:pt>
              </c:numCache>
            </c:numRef>
          </c:val>
        </c:ser>
        <c:ser>
          <c:idx val="1"/>
          <c:order val="1"/>
          <c:tx>
            <c:strRef>
              <c:f>All!$W$12</c:f>
              <c:strCache>
                <c:ptCount val="1"/>
                <c:pt idx="0">
                  <c:v>45 mi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All!$T$13:$U$18</c:f>
              <c:multiLvlStrCache>
                <c:ptCount val="6"/>
                <c:lvl>
                  <c:pt idx="0">
                    <c:v>Archer Midnight</c:v>
                  </c:pt>
                  <c:pt idx="1">
                    <c:v>Joby S4</c:v>
                  </c:pt>
                  <c:pt idx="2">
                    <c:v>Supermal S-A2</c:v>
                  </c:pt>
                  <c:pt idx="3">
                    <c:v>Archer Midnight</c:v>
                  </c:pt>
                  <c:pt idx="4">
                    <c:v>Joby S4</c:v>
                  </c:pt>
                  <c:pt idx="5">
                    <c:v>Supermal S-A2</c:v>
                  </c:pt>
                </c:lvl>
                <c:lvl>
                  <c:pt idx="0">
                    <c:v>1500ft</c:v>
                  </c:pt>
                  <c:pt idx="3">
                    <c:v>3000ft</c:v>
                  </c:pt>
                </c:lvl>
              </c:multiLvlStrCache>
            </c:multiLvlStrRef>
          </c:cat>
          <c:val>
            <c:numRef>
              <c:f>All!$W$13:$W$18</c:f>
              <c:numCache>
                <c:formatCode>0.0%</c:formatCode>
                <c:ptCount val="6"/>
                <c:pt idx="0">
                  <c:v>0.0860106441155944</c:v>
                </c:pt>
                <c:pt idx="1">
                  <c:v>0.111695178418544</c:v>
                </c:pt>
                <c:pt idx="2">
                  <c:v>0.0829715787929926</c:v>
                </c:pt>
                <c:pt idx="3">
                  <c:v>0.138767423900283</c:v>
                </c:pt>
                <c:pt idx="4">
                  <c:v>0.172216824366053</c:v>
                </c:pt>
                <c:pt idx="5">
                  <c:v>0.134547909970094</c:v>
                </c:pt>
              </c:numCache>
            </c:numRef>
          </c:val>
        </c:ser>
        <c:ser>
          <c:idx val="2"/>
          <c:order val="2"/>
          <c:tx>
            <c:strRef>
              <c:f>All!$X$12</c:f>
              <c:strCache>
                <c:ptCount val="1"/>
                <c:pt idx="0">
                  <c:v>60 mi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All!$T$13:$U$18</c:f>
              <c:multiLvlStrCache>
                <c:ptCount val="6"/>
                <c:lvl>
                  <c:pt idx="0">
                    <c:v>Archer Midnight</c:v>
                  </c:pt>
                  <c:pt idx="1">
                    <c:v>Joby S4</c:v>
                  </c:pt>
                  <c:pt idx="2">
                    <c:v>Supermal S-A2</c:v>
                  </c:pt>
                  <c:pt idx="3">
                    <c:v>Archer Midnight</c:v>
                  </c:pt>
                  <c:pt idx="4">
                    <c:v>Joby S4</c:v>
                  </c:pt>
                  <c:pt idx="5">
                    <c:v>Supermal S-A2</c:v>
                  </c:pt>
                </c:lvl>
                <c:lvl>
                  <c:pt idx="0">
                    <c:v>1500ft</c:v>
                  </c:pt>
                  <c:pt idx="3">
                    <c:v>3000ft</c:v>
                  </c:pt>
                </c:lvl>
              </c:multiLvlStrCache>
            </c:multiLvlStrRef>
          </c:cat>
          <c:val>
            <c:numRef>
              <c:f>All!$X$13:$X$18</c:f>
              <c:numCache>
                <c:formatCode>0.0%</c:formatCode>
                <c:ptCount val="6"/>
                <c:pt idx="0">
                  <c:v>0.0668567967849797</c:v>
                </c:pt>
                <c:pt idx="1">
                  <c:v>0.0876749675180974</c:v>
                </c:pt>
                <c:pt idx="2">
                  <c:v>0.0642477080906894</c:v>
                </c:pt>
                <c:pt idx="3">
                  <c:v>0.107634796883143</c:v>
                </c:pt>
                <c:pt idx="4">
                  <c:v>0.136037677234995</c:v>
                </c:pt>
                <c:pt idx="5">
                  <c:v>0.103631914685213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577255082"/>
        <c:axId val="379268388"/>
      </c:barChart>
      <c:catAx>
        <c:axId val="57725508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600"/>
                  <a:t>Aircraft at 1500 ft and 3000 ft</a:t>
                </a:r>
                <a:endParaRPr sz="1600"/>
              </a:p>
            </c:rich>
          </c:tx>
          <c:layout>
            <c:manualLayout>
              <c:xMode val="edge"/>
              <c:yMode val="edge"/>
              <c:x val="0.404281853381483"/>
              <c:y val="0.867583768727344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9268388"/>
        <c:crosses val="autoZero"/>
        <c:auto val="1"/>
        <c:lblAlgn val="ctr"/>
        <c:lblOffset val="100"/>
        <c:noMultiLvlLbl val="0"/>
      </c:catAx>
      <c:valAx>
        <c:axId val="379268388"/>
        <c:scaling>
          <c:orientation val="minMax"/>
          <c:max val="0.3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altLang="en-US" sz="1600"/>
                  <a:t>B</a:t>
                </a:r>
                <a:r>
                  <a:rPr sz="1600"/>
                  <a:t>attery Mass Reduction (%)</a:t>
                </a:r>
                <a:endParaRPr sz="1600"/>
              </a:p>
            </c:rich>
          </c:tx>
          <c:layout>
            <c:manualLayout>
              <c:xMode val="edge"/>
              <c:yMode val="edge"/>
              <c:x val="0.00912259670638583"/>
              <c:y val="0.21073218642975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725508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434805296458157"/>
          <c:y val="0.926960383311908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4c8e125-ebfc-4794-b09e-09c12f21272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18</xdr:col>
      <xdr:colOff>613410</xdr:colOff>
      <xdr:row>20</xdr:row>
      <xdr:rowOff>168275</xdr:rowOff>
    </xdr:from>
    <xdr:to>
      <xdr:col>34</xdr:col>
      <xdr:colOff>306705</xdr:colOff>
      <xdr:row>36</xdr:row>
      <xdr:rowOff>541655</xdr:rowOff>
    </xdr:to>
    <xdr:graphicFrame>
      <xdr:nvGraphicFramePr>
        <xdr:cNvPr id="2" name="Chart 1"/>
        <xdr:cNvGraphicFramePr/>
      </xdr:nvGraphicFramePr>
      <xdr:xfrm>
        <a:off x="19505295" y="8176895"/>
        <a:ext cx="10557510" cy="5816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3"/>
  <sheetViews>
    <sheetView tabSelected="1" zoomScale="55" zoomScaleNormal="55" topLeftCell="A10" workbookViewId="0">
      <selection activeCell="AO96" sqref="AO96"/>
    </sheetView>
  </sheetViews>
  <sheetFormatPr defaultColWidth="9" defaultRowHeight="14.4"/>
  <cols>
    <col min="1" max="1" width="12.0555555555556" style="1" customWidth="1"/>
    <col min="2" max="2" width="10.9722222222222" style="1" customWidth="1"/>
    <col min="3" max="3" width="15.7777777777778" style="1" customWidth="1"/>
    <col min="4" max="18" width="15.7777777777778" style="2" customWidth="1"/>
    <col min="19" max="20" width="9" style="1"/>
    <col min="21" max="21" width="18.4166666666667" style="1" customWidth="1"/>
    <col min="22" max="28" width="9" style="1"/>
    <col min="29" max="29" width="10.6666666666667" style="1"/>
    <col min="30" max="37" width="9.66666666666667" style="1"/>
    <col min="38" max="39" width="9" style="1"/>
    <col min="40" max="41" width="9.66666666666667" style="1"/>
    <col min="42" max="16384" width="9" style="1"/>
  </cols>
  <sheetData>
    <row r="1" ht="19" customHeight="1" spans="1:3">
      <c r="A1" s="3" t="s">
        <v>0</v>
      </c>
      <c r="B1" s="4"/>
      <c r="C1" s="4"/>
    </row>
    <row r="2" ht="23" customHeight="1" spans="1:6">
      <c r="A2" s="5" t="s">
        <v>1</v>
      </c>
      <c r="B2" s="6" t="s">
        <v>2</v>
      </c>
      <c r="C2" s="7" t="s">
        <v>3</v>
      </c>
      <c r="E2" s="8" t="s">
        <v>4</v>
      </c>
      <c r="F2" s="89" t="s">
        <v>5</v>
      </c>
    </row>
    <row r="3" ht="43.2" spans="1:3">
      <c r="A3" s="9" t="s">
        <v>6</v>
      </c>
      <c r="B3" s="10">
        <v>1</v>
      </c>
      <c r="C3" s="11" t="s">
        <v>7</v>
      </c>
    </row>
    <row r="4" ht="72" spans="1:3">
      <c r="A4" s="9" t="s">
        <v>8</v>
      </c>
      <c r="B4" s="12">
        <v>15</v>
      </c>
      <c r="C4" s="11" t="s">
        <v>9</v>
      </c>
    </row>
    <row r="5" ht="100.8" spans="1:3">
      <c r="A5" s="9" t="s">
        <v>10</v>
      </c>
      <c r="B5" s="12">
        <v>6</v>
      </c>
      <c r="C5" s="11" t="s">
        <v>11</v>
      </c>
    </row>
    <row r="6" ht="28.8" spans="1:3">
      <c r="A6" s="9" t="s">
        <v>12</v>
      </c>
      <c r="B6" s="10">
        <v>50</v>
      </c>
      <c r="C6" s="11" t="s">
        <v>13</v>
      </c>
    </row>
    <row r="7" ht="43.2" spans="1:3">
      <c r="A7" s="13" t="s">
        <v>14</v>
      </c>
      <c r="B7" s="14">
        <v>10</v>
      </c>
      <c r="C7" s="15" t="s">
        <v>15</v>
      </c>
    </row>
    <row r="9" ht="24" customHeight="1" spans="1:2">
      <c r="A9" s="16" t="s">
        <v>16</v>
      </c>
      <c r="B9" s="16"/>
    </row>
    <row r="10" ht="28" customHeight="1" spans="1:18">
      <c r="A10" s="17" t="s">
        <v>17</v>
      </c>
      <c r="B10" s="18" t="s">
        <v>18</v>
      </c>
      <c r="C10" s="6" t="s">
        <v>19</v>
      </c>
      <c r="D10" s="6"/>
      <c r="E10" s="6"/>
      <c r="F10" s="6"/>
      <c r="G10" s="6" t="s">
        <v>20</v>
      </c>
      <c r="H10" s="6"/>
      <c r="I10" s="6"/>
      <c r="J10" s="6"/>
      <c r="K10" s="6" t="s">
        <v>21</v>
      </c>
      <c r="L10" s="6"/>
      <c r="M10" s="6"/>
      <c r="N10" s="58" t="s">
        <v>22</v>
      </c>
      <c r="O10" s="58"/>
      <c r="P10" s="58"/>
      <c r="Q10" s="58"/>
      <c r="R10" s="58"/>
    </row>
    <row r="11" ht="76" customHeight="1" spans="1:18">
      <c r="A11" s="19"/>
      <c r="B11" s="20"/>
      <c r="C11" s="6" t="s">
        <v>23</v>
      </c>
      <c r="D11" s="6" t="s">
        <v>24</v>
      </c>
      <c r="E11" s="6" t="s">
        <v>25</v>
      </c>
      <c r="F11" s="21" t="s">
        <v>26</v>
      </c>
      <c r="G11" s="6" t="s">
        <v>23</v>
      </c>
      <c r="H11" s="6" t="s">
        <v>27</v>
      </c>
      <c r="I11" s="6" t="s">
        <v>28</v>
      </c>
      <c r="J11" s="21" t="s">
        <v>26</v>
      </c>
      <c r="K11" s="6" t="s">
        <v>29</v>
      </c>
      <c r="L11" s="6" t="s">
        <v>30</v>
      </c>
      <c r="M11" s="21" t="s">
        <v>26</v>
      </c>
      <c r="N11" s="21" t="s">
        <v>31</v>
      </c>
      <c r="O11" s="6" t="s">
        <v>32</v>
      </c>
      <c r="P11" s="6" t="s">
        <v>33</v>
      </c>
      <c r="Q11" s="6" t="s">
        <v>34</v>
      </c>
      <c r="R11" s="76" t="s">
        <v>35</v>
      </c>
    </row>
    <row r="12" ht="43" customHeight="1" spans="1:24">
      <c r="A12" s="22"/>
      <c r="B12" s="23"/>
      <c r="C12" s="24" t="s">
        <v>36</v>
      </c>
      <c r="D12" s="24" t="s">
        <v>37</v>
      </c>
      <c r="E12" s="24" t="s">
        <v>38</v>
      </c>
      <c r="F12" s="24"/>
      <c r="G12" s="24"/>
      <c r="H12" s="24" t="s">
        <v>39</v>
      </c>
      <c r="I12" s="24" t="s">
        <v>40</v>
      </c>
      <c r="J12" s="24"/>
      <c r="K12" s="24" t="s">
        <v>41</v>
      </c>
      <c r="L12" s="24" t="s">
        <v>42</v>
      </c>
      <c r="M12" s="59"/>
      <c r="N12" s="60" t="s">
        <v>43</v>
      </c>
      <c r="O12" s="61" t="s">
        <v>44</v>
      </c>
      <c r="P12" s="61" t="s">
        <v>45</v>
      </c>
      <c r="Q12" s="61" t="s">
        <v>46</v>
      </c>
      <c r="R12" s="61" t="s">
        <v>47</v>
      </c>
      <c r="T12" s="77"/>
      <c r="U12" s="78"/>
      <c r="V12" s="78" t="s">
        <v>48</v>
      </c>
      <c r="W12" s="78" t="s">
        <v>49</v>
      </c>
      <c r="X12" s="79" t="s">
        <v>50</v>
      </c>
    </row>
    <row r="13" spans="1:24">
      <c r="A13" s="25" t="s">
        <v>51</v>
      </c>
      <c r="B13" s="26" t="s">
        <v>48</v>
      </c>
      <c r="C13" s="27">
        <v>404.979995</v>
      </c>
      <c r="D13" s="28">
        <v>48.818688</v>
      </c>
      <c r="E13" s="28">
        <v>356.161307</v>
      </c>
      <c r="F13" s="29">
        <f>(C13-E13)/C13</f>
        <v>0.120545924743764</v>
      </c>
      <c r="G13" s="27">
        <v>3175</v>
      </c>
      <c r="H13" s="28">
        <v>3371.090089</v>
      </c>
      <c r="I13" s="28">
        <v>3126.181312</v>
      </c>
      <c r="J13" s="62">
        <f t="shared" ref="J13:J17" si="0">(G13-I13)/G13</f>
        <v>0.0153759647244094</v>
      </c>
      <c r="K13" s="28">
        <v>66.426844</v>
      </c>
      <c r="L13" s="28">
        <v>58.299238</v>
      </c>
      <c r="M13" s="62">
        <f>(K13-L13)/K13</f>
        <v>0.122354239801006</v>
      </c>
      <c r="N13" s="63">
        <v>8.007485</v>
      </c>
      <c r="O13" s="63">
        <v>8.060826</v>
      </c>
      <c r="P13" s="28">
        <v>91.449474</v>
      </c>
      <c r="Q13" s="28">
        <v>36.57979</v>
      </c>
      <c r="R13" s="80">
        <f>O13+P13+Q13+B6+B7</f>
        <v>196.09009</v>
      </c>
      <c r="S13" s="4"/>
      <c r="T13" s="81" t="s">
        <v>52</v>
      </c>
      <c r="U13" s="1" t="s">
        <v>16</v>
      </c>
      <c r="V13" s="82">
        <f>F14</f>
        <v>0.120545924743764</v>
      </c>
      <c r="W13" s="82">
        <f>F15</f>
        <v>0.0860106441155944</v>
      </c>
      <c r="X13" s="83">
        <f>F16</f>
        <v>0.0668567967849797</v>
      </c>
    </row>
    <row r="14" spans="1:24">
      <c r="A14" s="25"/>
      <c r="B14" s="30" t="s">
        <v>53</v>
      </c>
      <c r="C14" s="31">
        <v>404.979995</v>
      </c>
      <c r="D14" s="32">
        <v>48.818688</v>
      </c>
      <c r="E14" s="32">
        <f>C14-D14</f>
        <v>356.161307</v>
      </c>
      <c r="F14" s="33">
        <f t="shared" ref="F14:F19" si="1">(C14-E14)/C14</f>
        <v>0.120545924743764</v>
      </c>
      <c r="G14" s="34">
        <v>3175</v>
      </c>
      <c r="H14" s="35">
        <f>G14+R14</f>
        <v>3371.09009</v>
      </c>
      <c r="I14" s="35">
        <f>H14-R14-C14+E14</f>
        <v>3126.181312</v>
      </c>
      <c r="J14" s="64">
        <f t="shared" si="0"/>
        <v>0.0153759647244095</v>
      </c>
      <c r="K14" s="35">
        <v>66.426844</v>
      </c>
      <c r="L14" s="35">
        <v>58.299238</v>
      </c>
      <c r="M14" s="64">
        <f t="shared" ref="M14:M19" si="2">(K14-L14)/K14</f>
        <v>0.122354239801006</v>
      </c>
      <c r="N14" s="32">
        <v>8.007485</v>
      </c>
      <c r="O14" s="32">
        <v>8.060826</v>
      </c>
      <c r="P14" s="32">
        <v>91.449474</v>
      </c>
      <c r="Q14" s="32">
        <v>36.57979</v>
      </c>
      <c r="R14" s="84">
        <f>O14+P14+Q14+B6+B7</f>
        <v>196.09009</v>
      </c>
      <c r="S14" s="4"/>
      <c r="T14" s="81"/>
      <c r="U14" s="1" t="s">
        <v>54</v>
      </c>
      <c r="V14" s="82">
        <f>F26</f>
        <v>0.15384350336785</v>
      </c>
      <c r="W14" s="82">
        <f>F27</f>
        <v>0.111695178418544</v>
      </c>
      <c r="X14" s="83">
        <f>F28</f>
        <v>0.0876749675180974</v>
      </c>
    </row>
    <row r="15" spans="1:24">
      <c r="A15" s="25"/>
      <c r="B15" s="26" t="s">
        <v>49</v>
      </c>
      <c r="C15" s="36">
        <v>567.588913</v>
      </c>
      <c r="D15" s="37"/>
      <c r="E15" s="37">
        <v>518.770225</v>
      </c>
      <c r="F15" s="38">
        <f t="shared" si="1"/>
        <v>0.0860106441155944</v>
      </c>
      <c r="G15" s="39"/>
      <c r="H15" s="40"/>
      <c r="I15" s="40"/>
      <c r="J15" s="65"/>
      <c r="K15" s="40">
        <v>93.098771</v>
      </c>
      <c r="L15" s="40">
        <v>84.673857</v>
      </c>
      <c r="M15" s="66">
        <f t="shared" si="2"/>
        <v>0.0904943632392312</v>
      </c>
      <c r="N15" s="37"/>
      <c r="O15" s="37"/>
      <c r="P15" s="37"/>
      <c r="Q15" s="37"/>
      <c r="R15" s="73"/>
      <c r="S15" s="4"/>
      <c r="T15" s="81"/>
      <c r="U15" s="1" t="s">
        <v>55</v>
      </c>
      <c r="V15" s="82">
        <f>F38</f>
        <v>0.117097636753174</v>
      </c>
      <c r="W15" s="82">
        <f>F39</f>
        <v>0.0829715787929926</v>
      </c>
      <c r="X15" s="83">
        <f>F40</f>
        <v>0.0642477080906894</v>
      </c>
    </row>
    <row r="16" spans="1:24">
      <c r="A16" s="25"/>
      <c r="B16" s="26" t="s">
        <v>50</v>
      </c>
      <c r="C16" s="36">
        <v>730.197831</v>
      </c>
      <c r="D16" s="37"/>
      <c r="E16" s="37">
        <v>681.379143</v>
      </c>
      <c r="F16" s="38">
        <f t="shared" si="1"/>
        <v>0.0668567967849797</v>
      </c>
      <c r="G16" s="39"/>
      <c r="H16" s="40"/>
      <c r="I16" s="40"/>
      <c r="J16" s="65"/>
      <c r="K16" s="40">
        <v>119.770699</v>
      </c>
      <c r="L16" s="40">
        <v>111.048476</v>
      </c>
      <c r="M16" s="66">
        <f t="shared" si="2"/>
        <v>0.072824347464149</v>
      </c>
      <c r="N16" s="37"/>
      <c r="O16" s="37"/>
      <c r="P16" s="37"/>
      <c r="Q16" s="37"/>
      <c r="R16" s="73"/>
      <c r="S16" s="4"/>
      <c r="T16" s="81" t="s">
        <v>56</v>
      </c>
      <c r="U16" s="1" t="s">
        <v>16</v>
      </c>
      <c r="V16" s="82">
        <f>F17</f>
        <v>0.19523895679036</v>
      </c>
      <c r="W16" s="82">
        <f>F18</f>
        <v>0.138767423900283</v>
      </c>
      <c r="X16" s="83">
        <f>F19</f>
        <v>0.107634796883143</v>
      </c>
    </row>
    <row r="17" spans="1:24">
      <c r="A17" s="41" t="s">
        <v>57</v>
      </c>
      <c r="B17" s="42" t="s">
        <v>48</v>
      </c>
      <c r="C17" s="43">
        <v>394.973689</v>
      </c>
      <c r="D17" s="44">
        <v>77.114251</v>
      </c>
      <c r="E17" s="44">
        <v>317.859438</v>
      </c>
      <c r="F17" s="45">
        <f t="shared" si="1"/>
        <v>0.19523895679036</v>
      </c>
      <c r="G17" s="46">
        <v>3175</v>
      </c>
      <c r="H17" s="47">
        <v>3371.266297</v>
      </c>
      <c r="I17" s="47">
        <v>3097.885749</v>
      </c>
      <c r="J17" s="67">
        <f t="shared" si="0"/>
        <v>0.0242879530708661</v>
      </c>
      <c r="K17" s="47">
        <v>64.785559</v>
      </c>
      <c r="L17" s="47">
        <v>51.863806</v>
      </c>
      <c r="M17" s="68">
        <f t="shared" si="2"/>
        <v>0.199454217875931</v>
      </c>
      <c r="N17" s="69">
        <v>12.648665</v>
      </c>
      <c r="O17" s="69">
        <v>8.237033</v>
      </c>
      <c r="P17" s="44">
        <v>91.449474</v>
      </c>
      <c r="Q17" s="44">
        <v>36.57979</v>
      </c>
      <c r="R17" s="74">
        <f>O17+P17+Q17+B6+B7</f>
        <v>196.266297</v>
      </c>
      <c r="S17" s="4"/>
      <c r="T17" s="81"/>
      <c r="U17" s="1" t="s">
        <v>54</v>
      </c>
      <c r="V17" s="82">
        <f>F29</f>
        <v>0.234611676084082</v>
      </c>
      <c r="W17" s="82">
        <f>F30</f>
        <v>0.172216824366053</v>
      </c>
      <c r="X17" s="83">
        <f>F31</f>
        <v>0.136037677234995</v>
      </c>
    </row>
    <row r="18" spans="1:24">
      <c r="A18" s="41"/>
      <c r="B18" s="42" t="s">
        <v>49</v>
      </c>
      <c r="C18" s="43">
        <v>555.708601</v>
      </c>
      <c r="D18" s="44"/>
      <c r="E18" s="44">
        <v>478.59435</v>
      </c>
      <c r="F18" s="48">
        <f t="shared" si="1"/>
        <v>0.138767423900283</v>
      </c>
      <c r="G18" s="46"/>
      <c r="H18" s="47"/>
      <c r="I18" s="47"/>
      <c r="J18" s="67"/>
      <c r="K18" s="47">
        <v>91.150103</v>
      </c>
      <c r="L18" s="47">
        <v>77.742831</v>
      </c>
      <c r="M18" s="70">
        <f t="shared" si="2"/>
        <v>0.147090036749602</v>
      </c>
      <c r="N18" s="44"/>
      <c r="O18" s="44"/>
      <c r="P18" s="44"/>
      <c r="Q18" s="44"/>
      <c r="R18" s="74"/>
      <c r="S18" s="4"/>
      <c r="T18" s="85"/>
      <c r="U18" s="86" t="s">
        <v>55</v>
      </c>
      <c r="V18" s="87">
        <f>F41</f>
        <v>0.191752468903442</v>
      </c>
      <c r="W18" s="87">
        <f>F42</f>
        <v>0.134547909970094</v>
      </c>
      <c r="X18" s="88">
        <f>F43</f>
        <v>0.103631914685213</v>
      </c>
    </row>
    <row r="19" spans="1:18">
      <c r="A19" s="49"/>
      <c r="B19" s="50" t="s">
        <v>50</v>
      </c>
      <c r="C19" s="51">
        <v>716.443513</v>
      </c>
      <c r="D19" s="52"/>
      <c r="E19" s="52">
        <v>639.329261</v>
      </c>
      <c r="F19" s="53">
        <f t="shared" si="1"/>
        <v>0.107634796883143</v>
      </c>
      <c r="G19" s="54"/>
      <c r="H19" s="52"/>
      <c r="I19" s="52"/>
      <c r="J19" s="71"/>
      <c r="K19" s="52">
        <v>117.514647</v>
      </c>
      <c r="L19" s="52">
        <v>103.621856</v>
      </c>
      <c r="M19" s="72">
        <f t="shared" si="2"/>
        <v>0.118221782174949</v>
      </c>
      <c r="N19" s="52"/>
      <c r="O19" s="52"/>
      <c r="P19" s="52"/>
      <c r="Q19" s="52"/>
      <c r="R19" s="75"/>
    </row>
    <row r="20" spans="1:6">
      <c r="A20" s="55"/>
      <c r="B20" s="55"/>
      <c r="C20" s="56"/>
      <c r="F20" s="57"/>
    </row>
    <row r="21" spans="1:9">
      <c r="A21" s="55"/>
      <c r="B21" s="55"/>
      <c r="C21" s="56"/>
      <c r="I21" s="44"/>
    </row>
    <row r="22" ht="24" customHeight="1" spans="1:2">
      <c r="A22" s="16" t="s">
        <v>54</v>
      </c>
      <c r="B22" s="16"/>
    </row>
    <row r="23" ht="28" customHeight="1" spans="1:18">
      <c r="A23" s="17" t="s">
        <v>17</v>
      </c>
      <c r="B23" s="18" t="s">
        <v>18</v>
      </c>
      <c r="C23" s="6" t="s">
        <v>19</v>
      </c>
      <c r="D23" s="6"/>
      <c r="E23" s="6"/>
      <c r="F23" s="6"/>
      <c r="G23" s="6" t="s">
        <v>20</v>
      </c>
      <c r="H23" s="6"/>
      <c r="I23" s="6"/>
      <c r="J23" s="6"/>
      <c r="K23" s="6" t="s">
        <v>21</v>
      </c>
      <c r="L23" s="6"/>
      <c r="M23" s="6"/>
      <c r="N23" s="58" t="s">
        <v>22</v>
      </c>
      <c r="O23" s="58"/>
      <c r="P23" s="58"/>
      <c r="Q23" s="58"/>
      <c r="R23" s="58"/>
    </row>
    <row r="24" ht="76" customHeight="1" spans="1:18">
      <c r="A24" s="19"/>
      <c r="B24" s="20"/>
      <c r="C24" s="6" t="s">
        <v>23</v>
      </c>
      <c r="D24" s="6" t="s">
        <v>24</v>
      </c>
      <c r="E24" s="6" t="s">
        <v>25</v>
      </c>
      <c r="F24" s="21" t="s">
        <v>26</v>
      </c>
      <c r="G24" s="6" t="s">
        <v>23</v>
      </c>
      <c r="H24" s="6" t="s">
        <v>27</v>
      </c>
      <c r="I24" s="6" t="s">
        <v>28</v>
      </c>
      <c r="J24" s="21" t="s">
        <v>26</v>
      </c>
      <c r="K24" s="6" t="s">
        <v>29</v>
      </c>
      <c r="L24" s="6" t="s">
        <v>30</v>
      </c>
      <c r="M24" s="21" t="s">
        <v>26</v>
      </c>
      <c r="N24" s="21" t="s">
        <v>31</v>
      </c>
      <c r="O24" s="6" t="s">
        <v>32</v>
      </c>
      <c r="P24" s="6" t="s">
        <v>33</v>
      </c>
      <c r="Q24" s="6" t="s">
        <v>34</v>
      </c>
      <c r="R24" s="76" t="s">
        <v>35</v>
      </c>
    </row>
    <row r="25" ht="43" customHeight="1" spans="1:18">
      <c r="A25" s="22"/>
      <c r="B25" s="23"/>
      <c r="C25" s="24" t="s">
        <v>36</v>
      </c>
      <c r="D25" s="24" t="s">
        <v>37</v>
      </c>
      <c r="E25" s="24" t="s">
        <v>38</v>
      </c>
      <c r="F25" s="24"/>
      <c r="G25" s="24"/>
      <c r="H25" s="24" t="s">
        <v>39</v>
      </c>
      <c r="I25" s="24" t="s">
        <v>40</v>
      </c>
      <c r="J25" s="24"/>
      <c r="K25" s="24" t="s">
        <v>41</v>
      </c>
      <c r="L25" s="24" t="s">
        <v>42</v>
      </c>
      <c r="M25" s="59"/>
      <c r="N25" s="60" t="s">
        <v>43</v>
      </c>
      <c r="O25" s="61" t="s">
        <v>44</v>
      </c>
      <c r="P25" s="61" t="s">
        <v>45</v>
      </c>
      <c r="Q25" s="61" t="s">
        <v>46</v>
      </c>
      <c r="R25" s="61" t="s">
        <v>47</v>
      </c>
    </row>
    <row r="26" spans="1:18">
      <c r="A26" s="25" t="s">
        <v>51</v>
      </c>
      <c r="B26" s="26" t="s">
        <v>48</v>
      </c>
      <c r="C26" s="27">
        <v>271.24277</v>
      </c>
      <c r="D26" s="28">
        <v>41.728938</v>
      </c>
      <c r="E26" s="28">
        <v>229.513832</v>
      </c>
      <c r="F26" s="29">
        <f t="shared" ref="F26:F31" si="3">(C26-E26)/C26</f>
        <v>0.15384350336785</v>
      </c>
      <c r="G26" s="27">
        <v>2404</v>
      </c>
      <c r="H26" s="28">
        <v>2612.965739</v>
      </c>
      <c r="I26" s="28">
        <v>2362.271062</v>
      </c>
      <c r="J26" s="62">
        <f>(G26-I26)/G26</f>
        <v>0.0173581272878537</v>
      </c>
      <c r="K26" s="28">
        <v>44.490595</v>
      </c>
      <c r="L26" s="28">
        <v>37.678328</v>
      </c>
      <c r="M26" s="62">
        <f t="shared" ref="M26:M31" si="4">(K26-L26)/K26</f>
        <v>0.153117012707967</v>
      </c>
      <c r="N26" s="63">
        <v>6.844589</v>
      </c>
      <c r="O26" s="63">
        <v>20.936475</v>
      </c>
      <c r="P26" s="28">
        <v>91.449474</v>
      </c>
      <c r="Q26" s="28">
        <v>36.57979</v>
      </c>
      <c r="R26" s="80">
        <f>O26+P26+Q26+B6+B7</f>
        <v>208.965739</v>
      </c>
    </row>
    <row r="27" spans="1:18">
      <c r="A27" s="25"/>
      <c r="B27" s="26" t="s">
        <v>49</v>
      </c>
      <c r="C27" s="36">
        <v>373.596592</v>
      </c>
      <c r="D27" s="37"/>
      <c r="E27" s="37">
        <v>331.867654</v>
      </c>
      <c r="F27" s="38">
        <f t="shared" si="3"/>
        <v>0.111695178418544</v>
      </c>
      <c r="G27" s="39"/>
      <c r="H27" s="40"/>
      <c r="I27" s="40"/>
      <c r="J27" s="73"/>
      <c r="K27" s="40">
        <v>61.279181</v>
      </c>
      <c r="L27" s="40">
        <v>54.153523</v>
      </c>
      <c r="M27" s="66">
        <f t="shared" si="4"/>
        <v>0.116281873936925</v>
      </c>
      <c r="N27" s="37"/>
      <c r="O27" s="37"/>
      <c r="P27" s="37"/>
      <c r="Q27" s="37"/>
      <c r="R27" s="73"/>
    </row>
    <row r="28" spans="1:18">
      <c r="A28" s="25"/>
      <c r="B28" s="26" t="s">
        <v>50</v>
      </c>
      <c r="C28" s="36">
        <v>475.950413</v>
      </c>
      <c r="D28" s="37"/>
      <c r="E28" s="37">
        <v>434.221476</v>
      </c>
      <c r="F28" s="38">
        <f t="shared" si="3"/>
        <v>0.0876749675180974</v>
      </c>
      <c r="G28" s="39"/>
      <c r="H28" s="40"/>
      <c r="I28" s="40"/>
      <c r="J28" s="73"/>
      <c r="K28" s="40">
        <v>78.067767</v>
      </c>
      <c r="L28" s="40">
        <v>70.628718</v>
      </c>
      <c r="M28" s="66">
        <f t="shared" si="4"/>
        <v>0.0952896347092904</v>
      </c>
      <c r="N28" s="37"/>
      <c r="O28" s="37"/>
      <c r="P28" s="37"/>
      <c r="Q28" s="37"/>
      <c r="R28" s="73"/>
    </row>
    <row r="29" spans="1:18">
      <c r="A29" s="41" t="s">
        <v>57</v>
      </c>
      <c r="B29" s="42" t="s">
        <v>48</v>
      </c>
      <c r="C29" s="43">
        <v>284.14732</v>
      </c>
      <c r="D29" s="44">
        <v>66.664278</v>
      </c>
      <c r="E29" s="44">
        <v>217.483041</v>
      </c>
      <c r="F29" s="45">
        <f t="shared" si="3"/>
        <v>0.234611676084082</v>
      </c>
      <c r="G29" s="46">
        <v>2404</v>
      </c>
      <c r="H29" s="47">
        <v>2613.424389</v>
      </c>
      <c r="I29" s="47">
        <v>2337.335722</v>
      </c>
      <c r="J29" s="67">
        <f>(G29-I29)/G29</f>
        <v>0.027730564891847</v>
      </c>
      <c r="K29" s="47">
        <v>46.607264</v>
      </c>
      <c r="L29" s="47">
        <v>35.646334</v>
      </c>
      <c r="M29" s="68">
        <f t="shared" si="4"/>
        <v>0.235176430867085</v>
      </c>
      <c r="N29" s="69">
        <v>10.934608</v>
      </c>
      <c r="O29" s="69">
        <v>21.395125</v>
      </c>
      <c r="P29" s="44">
        <v>91.449474</v>
      </c>
      <c r="Q29" s="44">
        <v>36.57979</v>
      </c>
      <c r="R29" s="74">
        <f>O29+P29+Q29+B6+B7</f>
        <v>209.424389</v>
      </c>
    </row>
    <row r="30" spans="1:18">
      <c r="A30" s="41"/>
      <c r="B30" s="42" t="s">
        <v>49</v>
      </c>
      <c r="C30" s="43">
        <v>387.095037</v>
      </c>
      <c r="D30" s="44"/>
      <c r="E30" s="44">
        <v>320.430759</v>
      </c>
      <c r="F30" s="48">
        <f t="shared" si="3"/>
        <v>0.172216824366053</v>
      </c>
      <c r="G30" s="46"/>
      <c r="H30" s="47"/>
      <c r="I30" s="47"/>
      <c r="J30" s="74"/>
      <c r="K30" s="47">
        <v>63.493263</v>
      </c>
      <c r="L30" s="47">
        <v>52.013465</v>
      </c>
      <c r="M30" s="70">
        <f t="shared" si="4"/>
        <v>0.180803402716915</v>
      </c>
      <c r="N30" s="44"/>
      <c r="O30" s="44"/>
      <c r="P30" s="44"/>
      <c r="Q30" s="44"/>
      <c r="R30" s="74"/>
    </row>
    <row r="31" spans="1:18">
      <c r="A31" s="49"/>
      <c r="B31" s="50" t="s">
        <v>50</v>
      </c>
      <c r="C31" s="51">
        <v>490.042754</v>
      </c>
      <c r="D31" s="52"/>
      <c r="E31" s="52">
        <v>423.378476</v>
      </c>
      <c r="F31" s="53">
        <f t="shared" si="3"/>
        <v>0.136037677234995</v>
      </c>
      <c r="G31" s="54"/>
      <c r="H31" s="52"/>
      <c r="I31" s="52"/>
      <c r="J31" s="75"/>
      <c r="K31" s="52">
        <v>80.379263</v>
      </c>
      <c r="L31" s="52">
        <v>68.380596</v>
      </c>
      <c r="M31" s="72">
        <f t="shared" si="4"/>
        <v>0.149275653348551</v>
      </c>
      <c r="N31" s="52"/>
      <c r="O31" s="52"/>
      <c r="P31" s="52"/>
      <c r="Q31" s="52"/>
      <c r="R31" s="75"/>
    </row>
    <row r="34" ht="24" customHeight="1" spans="1:2">
      <c r="A34" s="16" t="s">
        <v>58</v>
      </c>
      <c r="B34" s="16"/>
    </row>
    <row r="35" ht="28" customHeight="1" spans="1:18">
      <c r="A35" s="17" t="s">
        <v>17</v>
      </c>
      <c r="B35" s="18" t="s">
        <v>18</v>
      </c>
      <c r="C35" s="6" t="s">
        <v>19</v>
      </c>
      <c r="D35" s="6"/>
      <c r="E35" s="6"/>
      <c r="F35" s="6"/>
      <c r="G35" s="6" t="s">
        <v>20</v>
      </c>
      <c r="H35" s="6"/>
      <c r="I35" s="6"/>
      <c r="J35" s="6"/>
      <c r="K35" s="6" t="s">
        <v>21</v>
      </c>
      <c r="L35" s="6"/>
      <c r="M35" s="6"/>
      <c r="N35" s="58" t="s">
        <v>22</v>
      </c>
      <c r="O35" s="58"/>
      <c r="P35" s="58"/>
      <c r="Q35" s="58"/>
      <c r="R35" s="58"/>
    </row>
    <row r="36" ht="76" customHeight="1" spans="1:18">
      <c r="A36" s="19"/>
      <c r="B36" s="20"/>
      <c r="C36" s="6" t="s">
        <v>23</v>
      </c>
      <c r="D36" s="6" t="s">
        <v>24</v>
      </c>
      <c r="E36" s="6" t="s">
        <v>25</v>
      </c>
      <c r="F36" s="21" t="s">
        <v>26</v>
      </c>
      <c r="G36" s="6" t="s">
        <v>23</v>
      </c>
      <c r="H36" s="6" t="s">
        <v>27</v>
      </c>
      <c r="I36" s="6" t="s">
        <v>28</v>
      </c>
      <c r="J36" s="21" t="s">
        <v>26</v>
      </c>
      <c r="K36" s="6" t="s">
        <v>29</v>
      </c>
      <c r="L36" s="6" t="s">
        <v>30</v>
      </c>
      <c r="M36" s="21" t="s">
        <v>26</v>
      </c>
      <c r="N36" s="21" t="s">
        <v>31</v>
      </c>
      <c r="O36" s="6" t="s">
        <v>32</v>
      </c>
      <c r="P36" s="6" t="s">
        <v>33</v>
      </c>
      <c r="Q36" s="6" t="s">
        <v>34</v>
      </c>
      <c r="R36" s="76" t="s">
        <v>35</v>
      </c>
    </row>
    <row r="37" ht="43" customHeight="1" spans="1:18">
      <c r="A37" s="22"/>
      <c r="B37" s="23"/>
      <c r="C37" s="24" t="s">
        <v>36</v>
      </c>
      <c r="D37" s="24" t="s">
        <v>37</v>
      </c>
      <c r="E37" s="24" t="s">
        <v>38</v>
      </c>
      <c r="F37" s="24"/>
      <c r="G37" s="24"/>
      <c r="H37" s="24" t="s">
        <v>39</v>
      </c>
      <c r="I37" s="24" t="s">
        <v>40</v>
      </c>
      <c r="J37" s="24"/>
      <c r="K37" s="24" t="s">
        <v>41</v>
      </c>
      <c r="L37" s="24" t="s">
        <v>42</v>
      </c>
      <c r="M37" s="59"/>
      <c r="N37" s="60" t="s">
        <v>43</v>
      </c>
      <c r="O37" s="61" t="s">
        <v>44</v>
      </c>
      <c r="P37" s="61" t="s">
        <v>45</v>
      </c>
      <c r="Q37" s="61" t="s">
        <v>46</v>
      </c>
      <c r="R37" s="61" t="s">
        <v>47</v>
      </c>
    </row>
    <row r="38" spans="1:18">
      <c r="A38" s="25" t="s">
        <v>51</v>
      </c>
      <c r="B38" s="26" t="s">
        <v>48</v>
      </c>
      <c r="C38" s="27">
        <v>443.464808</v>
      </c>
      <c r="D38" s="28">
        <v>51.928681</v>
      </c>
      <c r="E38" s="28">
        <v>391.536127</v>
      </c>
      <c r="F38" s="29">
        <f t="shared" ref="F38:F43" si="5">(C38-E38)/C38</f>
        <v>0.117097636753174</v>
      </c>
      <c r="G38" s="27">
        <v>3350</v>
      </c>
      <c r="H38" s="28">
        <v>3560.142502</v>
      </c>
      <c r="I38" s="28">
        <v>3298.071319</v>
      </c>
      <c r="J38" s="62">
        <f>(G38-I38)/G38</f>
        <v>0.0155010988059701</v>
      </c>
      <c r="K38" s="28">
        <v>72.739315</v>
      </c>
      <c r="L38" s="28">
        <v>63.984508</v>
      </c>
      <c r="M38" s="62">
        <f t="shared" ref="M38:M43" si="6">(K38-L38)/K38</f>
        <v>0.120358667111451</v>
      </c>
      <c r="N38" s="63">
        <v>8.517602</v>
      </c>
      <c r="O38" s="63">
        <v>22.113238</v>
      </c>
      <c r="P38" s="28">
        <v>91.449474</v>
      </c>
      <c r="Q38" s="28">
        <v>36.57979</v>
      </c>
      <c r="R38" s="80">
        <f>O38+P38+Q38+B6+B7</f>
        <v>210.142502</v>
      </c>
    </row>
    <row r="39" spans="1:18">
      <c r="A39" s="25"/>
      <c r="B39" s="26" t="s">
        <v>49</v>
      </c>
      <c r="C39" s="36">
        <v>625.861069</v>
      </c>
      <c r="D39" s="37"/>
      <c r="E39" s="37">
        <v>573.932388</v>
      </c>
      <c r="F39" s="38">
        <f t="shared" si="5"/>
        <v>0.0829715787929926</v>
      </c>
      <c r="G39" s="39"/>
      <c r="H39" s="40"/>
      <c r="I39" s="40"/>
      <c r="J39" s="73"/>
      <c r="K39" s="40">
        <v>102.656862</v>
      </c>
      <c r="L39" s="40">
        <v>93.516953</v>
      </c>
      <c r="M39" s="66">
        <f t="shared" si="6"/>
        <v>0.089033590370218</v>
      </c>
      <c r="N39" s="37"/>
      <c r="O39" s="37"/>
      <c r="P39" s="37"/>
      <c r="Q39" s="37"/>
      <c r="R39" s="73"/>
    </row>
    <row r="40" spans="1:18">
      <c r="A40" s="25"/>
      <c r="B40" s="26" t="s">
        <v>50</v>
      </c>
      <c r="C40" s="36">
        <v>808.25733</v>
      </c>
      <c r="D40" s="37"/>
      <c r="E40" s="37">
        <v>756.328649</v>
      </c>
      <c r="F40" s="38">
        <f t="shared" si="5"/>
        <v>0.0642477080906894</v>
      </c>
      <c r="G40" s="39"/>
      <c r="H40" s="40"/>
      <c r="I40" s="40"/>
      <c r="J40" s="73"/>
      <c r="K40" s="40">
        <v>132.574409</v>
      </c>
      <c r="L40" s="40">
        <v>123.049398</v>
      </c>
      <c r="M40" s="66">
        <f t="shared" si="6"/>
        <v>0.0718465280882376</v>
      </c>
      <c r="N40" s="37"/>
      <c r="O40" s="37"/>
      <c r="P40" s="37"/>
      <c r="Q40" s="37"/>
      <c r="R40" s="73"/>
    </row>
    <row r="41" spans="1:18">
      <c r="A41" s="41" t="s">
        <v>57</v>
      </c>
      <c r="B41" s="42" t="s">
        <v>48</v>
      </c>
      <c r="C41" s="43">
        <v>426.287935</v>
      </c>
      <c r="D41" s="44">
        <v>81.741764</v>
      </c>
      <c r="E41" s="44">
        <v>344.546171</v>
      </c>
      <c r="F41" s="45">
        <f t="shared" si="5"/>
        <v>0.191752468903442</v>
      </c>
      <c r="G41" s="46">
        <v>3350</v>
      </c>
      <c r="H41" s="47">
        <v>3560.627418</v>
      </c>
      <c r="I41" s="47">
        <v>3268.258236</v>
      </c>
      <c r="J41" s="67">
        <f>(G41-I41)/G41</f>
        <v>0.0244005265671641</v>
      </c>
      <c r="K41" s="47">
        <v>69.921879</v>
      </c>
      <c r="L41" s="47">
        <v>56.117239</v>
      </c>
      <c r="M41" s="68">
        <f t="shared" si="6"/>
        <v>0.197429476973867</v>
      </c>
      <c r="N41" s="69">
        <v>13.407693</v>
      </c>
      <c r="O41" s="69">
        <v>22.598154</v>
      </c>
      <c r="P41" s="44">
        <v>91.449474</v>
      </c>
      <c r="Q41" s="44">
        <v>36.57979</v>
      </c>
      <c r="R41" s="74">
        <f>O41+P41+Q41+B6+B7</f>
        <v>210.627418</v>
      </c>
    </row>
    <row r="42" spans="1:18">
      <c r="A42" s="41"/>
      <c r="B42" s="42" t="s">
        <v>49</v>
      </c>
      <c r="C42" s="43">
        <v>607.529058</v>
      </c>
      <c r="D42" s="44"/>
      <c r="E42" s="44">
        <v>525.787293</v>
      </c>
      <c r="F42" s="48">
        <f t="shared" si="5"/>
        <v>0.134547909970094</v>
      </c>
      <c r="G42" s="46"/>
      <c r="H42" s="47"/>
      <c r="I42" s="47"/>
      <c r="J42" s="74"/>
      <c r="K42" s="47">
        <v>99.649954</v>
      </c>
      <c r="L42" s="47">
        <v>85.22097</v>
      </c>
      <c r="M42" s="70">
        <f t="shared" si="6"/>
        <v>0.144796695039117</v>
      </c>
      <c r="N42" s="44"/>
      <c r="O42" s="44"/>
      <c r="P42" s="44"/>
      <c r="Q42" s="44"/>
      <c r="R42" s="74"/>
    </row>
    <row r="43" spans="1:18">
      <c r="A43" s="49"/>
      <c r="B43" s="50" t="s">
        <v>50</v>
      </c>
      <c r="C43" s="51">
        <v>788.77018</v>
      </c>
      <c r="D43" s="52"/>
      <c r="E43" s="52">
        <v>707.028416</v>
      </c>
      <c r="F43" s="53">
        <f t="shared" si="5"/>
        <v>0.103631914685213</v>
      </c>
      <c r="G43" s="54"/>
      <c r="H43" s="52"/>
      <c r="I43" s="52"/>
      <c r="J43" s="75"/>
      <c r="K43" s="52">
        <v>129.378029</v>
      </c>
      <c r="L43" s="52">
        <v>114.3247</v>
      </c>
      <c r="M43" s="72">
        <f t="shared" si="6"/>
        <v>0.116351509729677</v>
      </c>
      <c r="N43" s="52"/>
      <c r="O43" s="52"/>
      <c r="P43" s="52"/>
      <c r="Q43" s="52"/>
      <c r="R43" s="75"/>
    </row>
  </sheetData>
  <mergeCells count="27">
    <mergeCell ref="A9:B9"/>
    <mergeCell ref="C10:F10"/>
    <mergeCell ref="G10:J10"/>
    <mergeCell ref="K10:M10"/>
    <mergeCell ref="N10:R10"/>
    <mergeCell ref="A22:B22"/>
    <mergeCell ref="C23:F23"/>
    <mergeCell ref="G23:J23"/>
    <mergeCell ref="K23:M23"/>
    <mergeCell ref="N23:R23"/>
    <mergeCell ref="A34:B34"/>
    <mergeCell ref="C35:F35"/>
    <mergeCell ref="G35:J35"/>
    <mergeCell ref="K35:M35"/>
    <mergeCell ref="N35:R35"/>
    <mergeCell ref="A10:A12"/>
    <mergeCell ref="A13:A16"/>
    <mergeCell ref="A17:A19"/>
    <mergeCell ref="A23:A25"/>
    <mergeCell ref="A26:A28"/>
    <mergeCell ref="A29:A31"/>
    <mergeCell ref="A35:A37"/>
    <mergeCell ref="A38:A40"/>
    <mergeCell ref="A41:A43"/>
    <mergeCell ref="B10:B12"/>
    <mergeCell ref="B23:B25"/>
    <mergeCell ref="B35:B37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Khoa</cp:lastModifiedBy>
  <dcterms:created xsi:type="dcterms:W3CDTF">2025-07-21T09:59:00Z</dcterms:created>
  <dcterms:modified xsi:type="dcterms:W3CDTF">2025-11-07T14:40:32Z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384193DA38FB46339DA381B3EE611B35_12</vt:lpwstr>
  </property>
  <property fmtid="{D5CDD505-2E9C-101B-9397-08002B2CF9AE}" pid="3" name="KSOProductBuildVer">
    <vt:lpwstr>1033-12.2.0.23155</vt:lpwstr>
  </property>
</Properties>
</file>