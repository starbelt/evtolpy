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8" windowHeight="12240"/>
  </bookViews>
  <sheets>
    <sheet name="Al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<sst xmlns="http://schemas.openxmlformats.org/spreadsheetml/2006/main" count="150" uniqueCount="46">
  <si>
    <t>ABUs' assumptions:</t>
  </si>
  <si>
    <t>Number of ABUs attached</t>
  </si>
  <si>
    <t>Energy reserved for ABU's own safe operations (kWh)</t>
  </si>
  <si>
    <t>Structural fraction of battery mass</t>
  </si>
  <si>
    <t>Integration hardware fraction of battery mass</t>
  </si>
  <si>
    <t>Dirvert distance
(mi)</t>
  </si>
  <si>
    <t>Required hover time 
(s)</t>
  </si>
  <si>
    <t>Approximate hover descent time 
(s)</t>
  </si>
  <si>
    <t>Parameters</t>
  </si>
  <si>
    <t>n_abus</t>
  </si>
  <si>
    <t>E_abu_ops_total_kwh</t>
  </si>
  <si>
    <t>struct_frac</t>
  </si>
  <si>
    <t>integration_frac</t>
  </si>
  <si>
    <t>divert_distance_mi</t>
  </si>
  <si>
    <t>t_hover_s</t>
  </si>
  <si>
    <t>t_hover_descend_s</t>
  </si>
  <si>
    <t>Value</t>
  </si>
  <si>
    <r>
      <rPr>
        <b/>
        <u/>
        <sz val="11"/>
        <color theme="1"/>
        <rFont val="Calibri"/>
        <charset val="134"/>
        <scheme val="minor"/>
      </rPr>
      <t>Note</t>
    </r>
    <r>
      <rPr>
        <b/>
        <sz val="11"/>
        <color theme="1"/>
        <rFont val="Calibri"/>
        <charset val="134"/>
        <scheme val="minor"/>
      </rPr>
      <t>:</t>
    </r>
  </si>
  <si>
    <t>Modeling a low-energy or emergency landing phase where the aircraft cannot land immediately, so it must hover while awaiting clearance, instructions, or relocation to an alternate site</t>
  </si>
  <si>
    <t>ABU stays attached through loiter, divert cruise, hover, and final descent/landing</t>
  </si>
  <si>
    <t>ABU mission energy is the only usable energy for propulsion</t>
  </si>
  <si>
    <t>ABU ops reserve remains unused (safety margin for its own post-touchdown ops)</t>
  </si>
  <si>
    <t>Assume divert distance = 6 miles (similar to Uber's reserve mission)</t>
  </si>
  <si>
    <t>Assume required hover time = 60 sec</t>
  </si>
  <si>
    <t>Approximate hover descent time = 40 sec (for both altitude scenarios)</t>
  </si>
  <si>
    <t>1500 ft</t>
  </si>
  <si>
    <t>3000 ft</t>
  </si>
  <si>
    <t>Archer Midnight</t>
  </si>
  <si>
    <t>Altitude</t>
  </si>
  <si>
    <t>E_abu_mission_kwh</t>
  </si>
  <si>
    <t>m_abu_batt_kg</t>
  </si>
  <si>
    <t>m_abu_total_all_kg</t>
  </si>
  <si>
    <t>P_hover_attach_kw</t>
  </si>
  <si>
    <t>P_cruise_attach_kw</t>
  </si>
  <si>
    <t>t_divert_s</t>
  </si>
  <si>
    <t>E_divert_kwh</t>
  </si>
  <si>
    <t>E_hover_kwh</t>
  </si>
  <si>
    <t>E_hover_descend_kwh</t>
  </si>
  <si>
    <t>E_ops_kwh_total</t>
  </si>
  <si>
    <t>t_loiter_hover_max_s</t>
  </si>
  <si>
    <t>feasible</t>
  </si>
  <si>
    <t>margin_kwh</t>
  </si>
  <si>
    <t>note</t>
  </si>
  <si>
    <t>Insufficient ABU mission energy</t>
  </si>
  <si>
    <t>Joby S4</t>
  </si>
  <si>
    <t>Supernal S-A2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</si>
</sst>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_ "/>
    <numFmt numFmtId="179" formatCode="0.0_ 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6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2" fillId="0" borderId="17" applyNumberFormat="0" applyFill="0" applyAlignment="0" applyProtection="0">
      <alignment vertical="center"/>
    </xf>
    <xf numFmtId="0" fontId="13" fillId="0" borderId="1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9" applyNumberFormat="0" applyAlignment="0" applyProtection="0">
      <alignment vertical="center"/>
    </xf>
    <xf numFmtId="0" fontId="15" fillId="7" borderId="20" applyNumberFormat="0" applyAlignment="0" applyProtection="0">
      <alignment vertical="center"/>
    </xf>
    <xf numFmtId="0" fontId="16" fillId="7" borderId="19" applyNumberFormat="0" applyAlignment="0" applyProtection="0">
      <alignment vertical="center"/>
    </xf>
    <xf numFmtId="0" fontId="17" fillId="8" borderId="21" applyNumberFormat="0" applyAlignment="0" applyProtection="0">
      <alignment vertical="center"/>
    </xf>
    <xf numFmtId="0" fontId="18" fillId="0" borderId="22" applyNumberFormat="0" applyFill="0" applyAlignment="0" applyProtection="0">
      <alignment vertical="center"/>
    </xf>
    <xf numFmtId="0" fontId="19" fillId="0" borderId="23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70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left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78" fontId="0" fillId="0" borderId="7" xfId="0" applyNumberForma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179" fontId="2" fillId="0" borderId="7" xfId="0" applyNumberFormat="1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179" fontId="0" fillId="0" borderId="0" xfId="0" applyNumberFormat="1" applyFont="1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79" fontId="4" fillId="0" borderId="11" xfId="0" applyNumberFormat="1" applyFont="1" applyBorder="1" applyAlignment="1">
      <alignment horizontal="center" vertical="center" wrapText="1"/>
    </xf>
    <xf numFmtId="179" fontId="4" fillId="0" borderId="12" xfId="0" applyNumberFormat="1" applyFont="1" applyBorder="1" applyAlignment="1">
      <alignment horizontal="center" vertical="center" wrapText="1"/>
    </xf>
    <xf numFmtId="179" fontId="4" fillId="0" borderId="4" xfId="0" applyNumberFormat="1" applyFont="1" applyBorder="1" applyAlignment="1">
      <alignment horizontal="center" vertical="center" wrapText="1"/>
    </xf>
    <xf numFmtId="179" fontId="4" fillId="0" borderId="0" xfId="0" applyNumberFormat="1" applyFont="1" applyAlignment="1">
      <alignment horizontal="center" vertical="center" wrapText="1"/>
    </xf>
    <xf numFmtId="179" fontId="4" fillId="0" borderId="0" xfId="0" applyNumberFormat="1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 wrapText="1"/>
    </xf>
    <xf numFmtId="179" fontId="4" fillId="0" borderId="6" xfId="0" applyNumberFormat="1" applyFont="1" applyBorder="1" applyAlignment="1">
      <alignment horizontal="center" vertical="center" wrapText="1"/>
    </xf>
    <xf numFmtId="179" fontId="4" fillId="0" borderId="7" xfId="0" applyNumberFormat="1" applyFont="1" applyBorder="1" applyAlignment="1">
      <alignment horizontal="center" vertical="center" wrapText="1"/>
    </xf>
    <xf numFmtId="0" fontId="0" fillId="3" borderId="14" xfId="0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 wrapText="1"/>
    </xf>
    <xf numFmtId="179" fontId="4" fillId="3" borderId="11" xfId="0" applyNumberFormat="1" applyFont="1" applyFill="1" applyBorder="1" applyAlignment="1">
      <alignment horizontal="center" vertical="center" wrapText="1"/>
    </xf>
    <xf numFmtId="179" fontId="4" fillId="3" borderId="12" xfId="0" applyNumberFormat="1" applyFont="1" applyFill="1" applyBorder="1" applyAlignment="1">
      <alignment horizontal="center" vertical="center" wrapText="1"/>
    </xf>
    <xf numFmtId="0" fontId="0" fillId="3" borderId="10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179" fontId="4" fillId="3" borderId="4" xfId="0" applyNumberFormat="1" applyFont="1" applyFill="1" applyBorder="1" applyAlignment="1">
      <alignment horizontal="center" vertical="center" wrapText="1"/>
    </xf>
    <xf numFmtId="179" fontId="4" fillId="3" borderId="0" xfId="0" applyNumberFormat="1" applyFont="1" applyFill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179" fontId="4" fillId="3" borderId="6" xfId="0" applyNumberFormat="1" applyFont="1" applyFill="1" applyBorder="1" applyAlignment="1">
      <alignment horizontal="center" vertical="center" wrapText="1"/>
    </xf>
    <xf numFmtId="179" fontId="4" fillId="3" borderId="7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179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179" fontId="0" fillId="0" borderId="0" xfId="0" applyNumberFormat="1" applyAlignment="1">
      <alignment horizontal="left" vertical="center"/>
    </xf>
    <xf numFmtId="179" fontId="4" fillId="0" borderId="0" xfId="0" applyNumberFormat="1" applyFont="1" applyBorder="1" applyAlignment="1">
      <alignment horizontal="center" vertical="center" wrapText="1"/>
    </xf>
    <xf numFmtId="179" fontId="4" fillId="3" borderId="12" xfId="0" applyNumberFormat="1" applyFont="1" applyFill="1" applyBorder="1" applyAlignment="1">
      <alignment horizontal="center" vertical="center" wrapText="1"/>
    </xf>
    <xf numFmtId="179" fontId="4" fillId="3" borderId="0" xfId="0" applyNumberFormat="1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179" fontId="0" fillId="0" borderId="12" xfId="0" applyNumberForma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79" fontId="0" fillId="0" borderId="7" xfId="0" applyNumberFormat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179" fontId="4" fillId="3" borderId="15" xfId="0" applyNumberFormat="1" applyFont="1" applyFill="1" applyBorder="1" applyAlignment="1">
      <alignment horizontal="center" vertical="center" wrapText="1"/>
    </xf>
    <xf numFmtId="179" fontId="4" fillId="3" borderId="5" xfId="0" applyNumberFormat="1" applyFont="1" applyFill="1" applyBorder="1" applyAlignment="1">
      <alignment horizontal="center" vertical="center" wrapText="1"/>
    </xf>
    <xf numFmtId="179" fontId="4" fillId="3" borderId="8" xfId="0" applyNumberFormat="1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18</xdr:col>
      <xdr:colOff>496570</xdr:colOff>
      <xdr:row>13</xdr:row>
      <xdr:rowOff>127635</xdr:rowOff>
    </xdr:from>
    <xdr:to>
      <xdr:col>29</xdr:col>
      <xdr:colOff>264160</xdr:colOff>
      <xdr:row>36</xdr:row>
      <xdr:rowOff>20320</xdr:rowOff>
    </xdr:to>
    <xdr:pic>
      <xdr:nvPicPr>
        <xdr:cNvPr id="18" name="Picture 17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712055" y="3912235"/>
          <a:ext cx="7037070" cy="46780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18</xdr:col>
      <xdr:colOff>469900</xdr:colOff>
      <xdr:row>37</xdr:row>
      <xdr:rowOff>84455</xdr:rowOff>
    </xdr:from>
    <xdr:to>
      <xdr:col>29</xdr:col>
      <xdr:colOff>231775</xdr:colOff>
      <xdr:row>59</xdr:row>
      <xdr:rowOff>167640</xdr:rowOff>
    </xdr:to>
    <xdr:pic>
      <xdr:nvPicPr>
        <xdr:cNvPr id="19" name="Picture 18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7685385" y="8837295"/>
          <a:ext cx="7031355" cy="468566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18</xdr:col>
      <xdr:colOff>480060</xdr:colOff>
      <xdr:row>61</xdr:row>
      <xdr:rowOff>162560</xdr:rowOff>
    </xdr:from>
    <xdr:to>
      <xdr:col>29</xdr:col>
      <xdr:colOff>247015</xdr:colOff>
      <xdr:row>84</xdr:row>
      <xdr:rowOff>67310</xdr:rowOff>
    </xdr:to>
    <xdr:pic>
      <xdr:nvPicPr>
        <xdr:cNvPr id="20" name="Picture 19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7695545" y="13883640"/>
          <a:ext cx="7036435" cy="46901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30</xdr:col>
      <xdr:colOff>60960</xdr:colOff>
      <xdr:row>13</xdr:row>
      <xdr:rowOff>162560</xdr:rowOff>
    </xdr:from>
    <xdr:to>
      <xdr:col>41</xdr:col>
      <xdr:colOff>297815</xdr:colOff>
      <xdr:row>36</xdr:row>
      <xdr:rowOff>125095</xdr:rowOff>
    </xdr:to>
    <xdr:pic>
      <xdr:nvPicPr>
        <xdr:cNvPr id="22" name="Picture 21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5208865" y="3947160"/>
          <a:ext cx="7071995" cy="47478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30</xdr:col>
      <xdr:colOff>5715</xdr:colOff>
      <xdr:row>37</xdr:row>
      <xdr:rowOff>139065</xdr:rowOff>
    </xdr:from>
    <xdr:to>
      <xdr:col>41</xdr:col>
      <xdr:colOff>151765</xdr:colOff>
      <xdr:row>59</xdr:row>
      <xdr:rowOff>181610</xdr:rowOff>
    </xdr:to>
    <xdr:pic>
      <xdr:nvPicPr>
        <xdr:cNvPr id="23" name="Picture 22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5153620" y="8891905"/>
          <a:ext cx="6981190" cy="46450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29</xdr:col>
      <xdr:colOff>599440</xdr:colOff>
      <xdr:row>61</xdr:row>
      <xdr:rowOff>41910</xdr:rowOff>
    </xdr:from>
    <xdr:to>
      <xdr:col>41</xdr:col>
      <xdr:colOff>284480</xdr:colOff>
      <xdr:row>84</xdr:row>
      <xdr:rowOff>59055</xdr:rowOff>
    </xdr:to>
    <xdr:pic>
      <xdr:nvPicPr>
        <xdr:cNvPr id="24" name="Picture 23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5084405" y="13762990"/>
          <a:ext cx="7183120" cy="480250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83"/>
  <sheetViews>
    <sheetView tabSelected="1" zoomScale="40" zoomScaleNormal="40" topLeftCell="A33" workbookViewId="0">
      <selection activeCell="O93" sqref="O93"/>
    </sheetView>
  </sheetViews>
  <sheetFormatPr defaultColWidth="9" defaultRowHeight="14.4"/>
  <cols>
    <col min="1" max="7" width="12.7777777777778" style="1" customWidth="1"/>
    <col min="8" max="16" width="12.7777777777778" style="2" customWidth="1"/>
    <col min="17" max="17" width="12.7777777777778" style="1" customWidth="1"/>
    <col min="18" max="18" width="33.8055555555556" style="1" customWidth="1"/>
    <col min="19" max="19" width="10.6666666666667" style="1"/>
    <col min="20" max="27" width="9.66666666666667" style="1"/>
    <col min="28" max="29" width="9" style="1"/>
    <col min="30" max="31" width="9.66666666666667" style="1"/>
    <col min="32" max="16384" width="9" style="1"/>
  </cols>
  <sheetData>
    <row r="1" spans="1:6">
      <c r="A1" s="3" t="s">
        <v>0</v>
      </c>
      <c r="E1" s="2"/>
      <c r="F1" s="2"/>
    </row>
    <row r="2" ht="94" customHeight="1" spans="1:15">
      <c r="A2" s="4"/>
      <c r="B2" s="5" t="s">
        <v>1</v>
      </c>
      <c r="C2" s="6" t="s">
        <v>2</v>
      </c>
      <c r="D2" s="6" t="s">
        <v>3</v>
      </c>
      <c r="E2" s="6" t="s">
        <v>4</v>
      </c>
      <c r="F2" s="7" t="s">
        <v>5</v>
      </c>
      <c r="G2" s="7" t="s">
        <v>6</v>
      </c>
      <c r="H2" s="8" t="s">
        <v>7</v>
      </c>
      <c r="N2" s="55"/>
      <c r="O2" s="55"/>
    </row>
    <row r="3" ht="30" customHeight="1" spans="1:10">
      <c r="A3" s="9" t="s">
        <v>8</v>
      </c>
      <c r="B3" s="10" t="s">
        <v>9</v>
      </c>
      <c r="C3" s="11" t="s">
        <v>10</v>
      </c>
      <c r="D3" s="11" t="s">
        <v>11</v>
      </c>
      <c r="E3" s="12" t="s">
        <v>12</v>
      </c>
      <c r="F3" s="11" t="s">
        <v>13</v>
      </c>
      <c r="G3" s="11" t="s">
        <v>14</v>
      </c>
      <c r="H3" s="13" t="s">
        <v>15</v>
      </c>
      <c r="I3" s="56"/>
      <c r="J3" s="21"/>
    </row>
    <row r="4" ht="30" customHeight="1" spans="1:10">
      <c r="A4" s="14" t="s">
        <v>16</v>
      </c>
      <c r="B4" s="15">
        <v>1</v>
      </c>
      <c r="C4" s="16">
        <f>1*B4</f>
        <v>1</v>
      </c>
      <c r="D4" s="17">
        <v>0.2</v>
      </c>
      <c r="E4" s="16">
        <v>0.05</v>
      </c>
      <c r="F4" s="18">
        <v>6</v>
      </c>
      <c r="G4" s="19">
        <v>60</v>
      </c>
      <c r="H4" s="20">
        <v>40</v>
      </c>
      <c r="I4" s="21"/>
      <c r="J4" s="57"/>
    </row>
    <row r="5" customHeight="1" spans="8:16">
      <c r="H5" s="21"/>
      <c r="J5" s="21"/>
      <c r="N5" s="1"/>
      <c r="O5" s="1"/>
      <c r="P5" s="1"/>
    </row>
    <row r="6" customHeight="1" spans="1:8">
      <c r="A6" s="22" t="s">
        <v>17</v>
      </c>
      <c r="B6" s="21" t="s">
        <v>18</v>
      </c>
      <c r="H6" s="23"/>
    </row>
    <row r="7" customHeight="1" spans="2:8">
      <c r="B7" s="21" t="s">
        <v>19</v>
      </c>
      <c r="H7" s="24"/>
    </row>
    <row r="8" customHeight="1" spans="2:8">
      <c r="B8" s="21" t="s">
        <v>20</v>
      </c>
      <c r="H8" s="24"/>
    </row>
    <row r="9" customHeight="1" spans="2:8">
      <c r="B9" s="21" t="s">
        <v>21</v>
      </c>
      <c r="H9" s="24"/>
    </row>
    <row r="10" customHeight="1" spans="2:8">
      <c r="B10" s="21" t="s">
        <v>22</v>
      </c>
      <c r="H10" s="24"/>
    </row>
    <row r="11" customHeight="1" spans="2:8">
      <c r="B11" s="21" t="s">
        <v>23</v>
      </c>
      <c r="H11" s="21"/>
    </row>
    <row r="12" customHeight="1" spans="2:8">
      <c r="B12" s="25" t="s">
        <v>24</v>
      </c>
      <c r="H12" s="21"/>
    </row>
    <row r="13" customHeight="1" spans="24:36">
      <c r="X13" s="61" t="s">
        <v>25</v>
      </c>
      <c r="AJ13" s="61" t="s">
        <v>26</v>
      </c>
    </row>
    <row r="14" spans="1:2">
      <c r="A14" s="26" t="s">
        <v>27</v>
      </c>
      <c r="B14" s="26"/>
    </row>
    <row r="15" ht="60" customHeight="1" spans="1:18">
      <c r="A15" s="27" t="s">
        <v>28</v>
      </c>
      <c r="B15" s="28" t="s">
        <v>29</v>
      </c>
      <c r="C15" s="5" t="s">
        <v>30</v>
      </c>
      <c r="D15" s="29" t="s">
        <v>31</v>
      </c>
      <c r="E15" s="29" t="s">
        <v>32</v>
      </c>
      <c r="F15" s="29" t="s">
        <v>33</v>
      </c>
      <c r="G15" s="29" t="s">
        <v>34</v>
      </c>
      <c r="H15" s="29" t="s">
        <v>13</v>
      </c>
      <c r="I15" s="29" t="s">
        <v>35</v>
      </c>
      <c r="J15" s="29" t="s">
        <v>14</v>
      </c>
      <c r="K15" s="29" t="s">
        <v>36</v>
      </c>
      <c r="L15" s="29" t="s">
        <v>15</v>
      </c>
      <c r="M15" s="29" t="s">
        <v>37</v>
      </c>
      <c r="N15" s="29" t="s">
        <v>38</v>
      </c>
      <c r="O15" s="29" t="s">
        <v>39</v>
      </c>
      <c r="P15" s="29" t="s">
        <v>40</v>
      </c>
      <c r="Q15" s="29" t="s">
        <v>41</v>
      </c>
      <c r="R15" s="28" t="s">
        <v>42</v>
      </c>
    </row>
    <row r="16" spans="1:18">
      <c r="A16" s="30" t="s">
        <v>25</v>
      </c>
      <c r="B16" s="31">
        <v>5</v>
      </c>
      <c r="C16" s="32">
        <v>36.57979</v>
      </c>
      <c r="D16" s="33">
        <v>53.785563</v>
      </c>
      <c r="E16" s="33">
        <v>905.187833</v>
      </c>
      <c r="F16" s="33">
        <v>270.035496</v>
      </c>
      <c r="G16" s="33">
        <v>143.905216</v>
      </c>
      <c r="H16" s="33">
        <v>6</v>
      </c>
      <c r="I16" s="33">
        <v>10.79431</v>
      </c>
      <c r="J16" s="33">
        <v>60</v>
      </c>
      <c r="K16" s="33">
        <v>15.086464</v>
      </c>
      <c r="L16" s="33">
        <v>40</v>
      </c>
      <c r="M16" s="33">
        <v>1.153397</v>
      </c>
      <c r="N16" s="33">
        <v>1</v>
      </c>
      <c r="O16" s="33">
        <v>0</v>
      </c>
      <c r="P16" s="33">
        <v>0</v>
      </c>
      <c r="Q16" s="62">
        <v>-23.034171</v>
      </c>
      <c r="R16" s="63" t="s">
        <v>43</v>
      </c>
    </row>
    <row r="17" spans="1:18">
      <c r="A17" s="30"/>
      <c r="B17" s="31">
        <v>10</v>
      </c>
      <c r="C17" s="34">
        <v>67.062948</v>
      </c>
      <c r="D17" s="35">
        <v>91.88951</v>
      </c>
      <c r="E17" s="35">
        <v>921.258639</v>
      </c>
      <c r="F17" s="35">
        <v>272.410633</v>
      </c>
      <c r="G17" s="36">
        <v>143.905216</v>
      </c>
      <c r="H17" s="35">
        <v>6</v>
      </c>
      <c r="I17" s="35">
        <v>10.889253</v>
      </c>
      <c r="J17" s="35">
        <v>60</v>
      </c>
      <c r="K17" s="35">
        <v>15.354311</v>
      </c>
      <c r="L17" s="35">
        <v>40</v>
      </c>
      <c r="M17" s="35">
        <v>1.167009</v>
      </c>
      <c r="N17" s="35">
        <v>1</v>
      </c>
      <c r="O17" s="58">
        <v>0</v>
      </c>
      <c r="P17" s="58">
        <v>0</v>
      </c>
      <c r="Q17" s="55">
        <v>-18.410573</v>
      </c>
      <c r="R17" s="64" t="s">
        <v>43</v>
      </c>
    </row>
    <row r="18" spans="1:18">
      <c r="A18" s="30"/>
      <c r="B18" s="31">
        <v>15</v>
      </c>
      <c r="C18" s="34">
        <v>97.546106</v>
      </c>
      <c r="D18" s="35">
        <v>129.993458</v>
      </c>
      <c r="E18" s="35">
        <v>937.423442</v>
      </c>
      <c r="F18" s="35">
        <v>274.807158</v>
      </c>
      <c r="G18" s="36">
        <v>143.905216</v>
      </c>
      <c r="H18" s="35">
        <v>6</v>
      </c>
      <c r="I18" s="35">
        <v>10.985051</v>
      </c>
      <c r="J18" s="35">
        <v>60</v>
      </c>
      <c r="K18" s="35">
        <v>15.623724</v>
      </c>
      <c r="L18" s="35">
        <v>40</v>
      </c>
      <c r="M18" s="35">
        <v>1.18062</v>
      </c>
      <c r="N18" s="35">
        <v>1</v>
      </c>
      <c r="O18" s="58">
        <v>0</v>
      </c>
      <c r="P18" s="58">
        <v>0</v>
      </c>
      <c r="Q18" s="55">
        <v>-13.789395</v>
      </c>
      <c r="R18" s="64" t="s">
        <v>43</v>
      </c>
    </row>
    <row r="19" spans="1:18">
      <c r="A19" s="30"/>
      <c r="B19" s="31">
        <v>20</v>
      </c>
      <c r="C19" s="34">
        <v>128.029264</v>
      </c>
      <c r="D19" s="35">
        <v>168.097405</v>
      </c>
      <c r="E19" s="35">
        <v>953.681701</v>
      </c>
      <c r="F19" s="35">
        <v>277.22507</v>
      </c>
      <c r="G19" s="36">
        <v>143.905216</v>
      </c>
      <c r="H19" s="35">
        <v>6</v>
      </c>
      <c r="I19" s="35">
        <v>11.081704</v>
      </c>
      <c r="J19" s="35">
        <v>60</v>
      </c>
      <c r="K19" s="35">
        <v>15.894695</v>
      </c>
      <c r="L19" s="35">
        <v>40</v>
      </c>
      <c r="M19" s="35">
        <v>1.194232</v>
      </c>
      <c r="N19" s="35">
        <v>1</v>
      </c>
      <c r="O19" s="58">
        <v>0</v>
      </c>
      <c r="P19" s="58">
        <v>0</v>
      </c>
      <c r="Q19" s="55">
        <v>-9.170631</v>
      </c>
      <c r="R19" s="64" t="s">
        <v>43</v>
      </c>
    </row>
    <row r="20" spans="1:18">
      <c r="A20" s="30"/>
      <c r="B20" s="31">
        <v>25</v>
      </c>
      <c r="C20" s="34">
        <v>158.512422</v>
      </c>
      <c r="D20" s="35">
        <v>206.201353</v>
      </c>
      <c r="E20" s="35">
        <v>970.032879</v>
      </c>
      <c r="F20" s="35">
        <v>279.664369</v>
      </c>
      <c r="G20" s="36">
        <v>143.905216</v>
      </c>
      <c r="H20" s="35">
        <v>6</v>
      </c>
      <c r="I20" s="35">
        <v>11.179212</v>
      </c>
      <c r="J20" s="35">
        <v>60</v>
      </c>
      <c r="K20" s="35">
        <v>16.167215</v>
      </c>
      <c r="L20" s="35">
        <v>40</v>
      </c>
      <c r="M20" s="35">
        <v>1.207844</v>
      </c>
      <c r="N20" s="35">
        <v>1</v>
      </c>
      <c r="O20" s="58">
        <v>0</v>
      </c>
      <c r="P20" s="58">
        <v>0</v>
      </c>
      <c r="Q20" s="55">
        <v>-4.55427</v>
      </c>
      <c r="R20" s="64" t="s">
        <v>43</v>
      </c>
    </row>
    <row r="21" spans="1:18">
      <c r="A21" s="30"/>
      <c r="B21" s="31">
        <v>30</v>
      </c>
      <c r="C21" s="34">
        <v>188.99558</v>
      </c>
      <c r="D21" s="35">
        <v>244.305301</v>
      </c>
      <c r="E21" s="35">
        <v>986.476452</v>
      </c>
      <c r="F21" s="35">
        <v>282.125057</v>
      </c>
      <c r="G21" s="36">
        <v>143.905216</v>
      </c>
      <c r="H21" s="35">
        <v>6</v>
      </c>
      <c r="I21" s="35">
        <v>11.277574</v>
      </c>
      <c r="J21" s="35">
        <v>60</v>
      </c>
      <c r="K21" s="35">
        <v>16.441274</v>
      </c>
      <c r="L21" s="35">
        <v>40</v>
      </c>
      <c r="M21" s="35">
        <v>1.221455</v>
      </c>
      <c r="N21" s="35">
        <v>1</v>
      </c>
      <c r="O21" s="58">
        <v>0.217853</v>
      </c>
      <c r="P21" s="58">
        <v>1</v>
      </c>
      <c r="Q21" s="55">
        <v>0.059696</v>
      </c>
      <c r="R21" s="64" t="s">
        <v>40</v>
      </c>
    </row>
    <row r="22" spans="1:18">
      <c r="A22" s="30"/>
      <c r="B22" s="31">
        <v>35</v>
      </c>
      <c r="C22" s="34">
        <v>219.478738</v>
      </c>
      <c r="D22" s="35">
        <v>282.409248</v>
      </c>
      <c r="E22" s="35">
        <v>1003.011905</v>
      </c>
      <c r="F22" s="35">
        <v>284.607131</v>
      </c>
      <c r="G22" s="36">
        <v>143.905216</v>
      </c>
      <c r="H22" s="35">
        <v>6</v>
      </c>
      <c r="I22" s="35">
        <v>11.376792</v>
      </c>
      <c r="J22" s="35">
        <v>60</v>
      </c>
      <c r="K22" s="35">
        <v>16.716865</v>
      </c>
      <c r="L22" s="35">
        <v>40</v>
      </c>
      <c r="M22" s="35">
        <v>1.235067</v>
      </c>
      <c r="N22" s="35">
        <v>1</v>
      </c>
      <c r="O22" s="58">
        <v>16.766096</v>
      </c>
      <c r="P22" s="58">
        <v>1</v>
      </c>
      <c r="Q22" s="55">
        <v>4.671276</v>
      </c>
      <c r="R22" s="64" t="s">
        <v>40</v>
      </c>
    </row>
    <row r="23" spans="1:18">
      <c r="A23" s="30"/>
      <c r="B23" s="31">
        <v>40</v>
      </c>
      <c r="C23" s="34">
        <v>249.961896</v>
      </c>
      <c r="D23" s="35">
        <v>320.513196</v>
      </c>
      <c r="E23" s="35">
        <v>1019.638728</v>
      </c>
      <c r="F23" s="35">
        <v>287.110593</v>
      </c>
      <c r="G23" s="36">
        <v>143.905216</v>
      </c>
      <c r="H23" s="35">
        <v>6</v>
      </c>
      <c r="I23" s="35">
        <v>11.476864</v>
      </c>
      <c r="J23" s="35">
        <v>60</v>
      </c>
      <c r="K23" s="35">
        <v>16.993979</v>
      </c>
      <c r="L23" s="35">
        <v>40</v>
      </c>
      <c r="M23" s="35">
        <v>1.248679</v>
      </c>
      <c r="N23" s="35">
        <v>1</v>
      </c>
      <c r="O23" s="58">
        <v>32.766234</v>
      </c>
      <c r="P23" s="58">
        <v>1</v>
      </c>
      <c r="Q23" s="55">
        <v>9.280478</v>
      </c>
      <c r="R23" s="64" t="s">
        <v>40</v>
      </c>
    </row>
    <row r="24" spans="1:18">
      <c r="A24" s="30"/>
      <c r="B24" s="31">
        <v>45</v>
      </c>
      <c r="C24" s="34">
        <v>280.445054</v>
      </c>
      <c r="D24" s="35">
        <v>358.617143</v>
      </c>
      <c r="E24" s="35">
        <v>1036.356423</v>
      </c>
      <c r="F24" s="35">
        <v>289.635443</v>
      </c>
      <c r="G24" s="36">
        <v>143.905216</v>
      </c>
      <c r="H24" s="35">
        <v>6</v>
      </c>
      <c r="I24" s="35">
        <v>11.577792</v>
      </c>
      <c r="J24" s="35">
        <v>60</v>
      </c>
      <c r="K24" s="35">
        <v>17.272607</v>
      </c>
      <c r="L24" s="35">
        <v>40</v>
      </c>
      <c r="M24" s="35">
        <v>1.26229</v>
      </c>
      <c r="N24" s="35">
        <v>1</v>
      </c>
      <c r="O24" s="58">
        <v>48.240468</v>
      </c>
      <c r="P24" s="58">
        <v>1</v>
      </c>
      <c r="Q24" s="55">
        <v>13.887311</v>
      </c>
      <c r="R24" s="64" t="s">
        <v>40</v>
      </c>
    </row>
    <row r="25" spans="1:18">
      <c r="A25" s="37"/>
      <c r="B25" s="38">
        <v>50</v>
      </c>
      <c r="C25" s="39">
        <v>310.928212</v>
      </c>
      <c r="D25" s="40">
        <v>396.721091</v>
      </c>
      <c r="E25" s="40">
        <v>1053.164499</v>
      </c>
      <c r="F25" s="40">
        <v>292.18168</v>
      </c>
      <c r="G25" s="40">
        <v>143.905216</v>
      </c>
      <c r="H25" s="40">
        <v>6</v>
      </c>
      <c r="I25" s="40">
        <v>11.679574</v>
      </c>
      <c r="J25" s="40">
        <v>60</v>
      </c>
      <c r="K25" s="40">
        <v>17.552742</v>
      </c>
      <c r="L25" s="40">
        <v>40</v>
      </c>
      <c r="M25" s="40">
        <v>1.275902</v>
      </c>
      <c r="N25" s="40">
        <v>1</v>
      </c>
      <c r="O25" s="40">
        <v>63.209893</v>
      </c>
      <c r="P25" s="40">
        <v>1</v>
      </c>
      <c r="Q25" s="65">
        <v>18.491782</v>
      </c>
      <c r="R25" s="66" t="s">
        <v>40</v>
      </c>
    </row>
    <row r="26" spans="1:18">
      <c r="A26" s="41" t="s">
        <v>26</v>
      </c>
      <c r="B26" s="42">
        <v>5</v>
      </c>
      <c r="C26" s="43">
        <v>36.57979</v>
      </c>
      <c r="D26" s="44">
        <v>53.96177</v>
      </c>
      <c r="E26" s="44">
        <v>905.261933</v>
      </c>
      <c r="F26" s="44">
        <v>267.097581</v>
      </c>
      <c r="G26" s="44">
        <v>143.905216</v>
      </c>
      <c r="H26" s="44">
        <v>6</v>
      </c>
      <c r="I26" s="44">
        <v>10.676871</v>
      </c>
      <c r="J26" s="44">
        <v>60</v>
      </c>
      <c r="K26" s="44">
        <v>15.087699</v>
      </c>
      <c r="L26" s="44">
        <v>40</v>
      </c>
      <c r="M26" s="44">
        <v>1.15346</v>
      </c>
      <c r="N26" s="44">
        <v>1</v>
      </c>
      <c r="O26" s="59">
        <v>0</v>
      </c>
      <c r="P26" s="59">
        <v>0</v>
      </c>
      <c r="Q26" s="59">
        <v>-22.91803</v>
      </c>
      <c r="R26" s="67" t="s">
        <v>43</v>
      </c>
    </row>
    <row r="27" spans="1:18">
      <c r="A27" s="45"/>
      <c r="B27" s="46">
        <v>10</v>
      </c>
      <c r="C27" s="47">
        <v>67.062948</v>
      </c>
      <c r="D27" s="48">
        <v>92.065717</v>
      </c>
      <c r="E27" s="48">
        <v>921.333175</v>
      </c>
      <c r="F27" s="48">
        <v>269.562343</v>
      </c>
      <c r="G27" s="48">
        <v>143.905216</v>
      </c>
      <c r="H27" s="48">
        <v>6</v>
      </c>
      <c r="I27" s="48">
        <v>10.775396</v>
      </c>
      <c r="J27" s="48">
        <v>60</v>
      </c>
      <c r="K27" s="48">
        <v>15.355553</v>
      </c>
      <c r="L27" s="48">
        <v>40</v>
      </c>
      <c r="M27" s="48">
        <v>1.167072</v>
      </c>
      <c r="N27" s="48">
        <v>1</v>
      </c>
      <c r="O27" s="60">
        <v>0</v>
      </c>
      <c r="P27" s="60">
        <v>0</v>
      </c>
      <c r="Q27" s="60">
        <v>-18.298021</v>
      </c>
      <c r="R27" s="68" t="s">
        <v>43</v>
      </c>
    </row>
    <row r="28" spans="1:18">
      <c r="A28" s="45"/>
      <c r="B28" s="46">
        <v>15</v>
      </c>
      <c r="C28" s="47">
        <v>97.546106</v>
      </c>
      <c r="D28" s="48">
        <v>130.169665</v>
      </c>
      <c r="E28" s="48">
        <v>937.498412</v>
      </c>
      <c r="F28" s="48">
        <v>272.049544</v>
      </c>
      <c r="G28" s="48">
        <v>143.905216</v>
      </c>
      <c r="H28" s="48">
        <v>6</v>
      </c>
      <c r="I28" s="48">
        <v>10.874819</v>
      </c>
      <c r="J28" s="48">
        <v>60</v>
      </c>
      <c r="K28" s="48">
        <v>15.624974</v>
      </c>
      <c r="L28" s="48">
        <v>40</v>
      </c>
      <c r="M28" s="48">
        <v>1.180683</v>
      </c>
      <c r="N28" s="48">
        <v>1</v>
      </c>
      <c r="O28" s="60">
        <v>0</v>
      </c>
      <c r="P28" s="60">
        <v>0</v>
      </c>
      <c r="Q28" s="60">
        <v>-13.680476</v>
      </c>
      <c r="R28" s="68" t="s">
        <v>43</v>
      </c>
    </row>
    <row r="29" spans="1:18">
      <c r="A29" s="45"/>
      <c r="B29" s="46">
        <v>20</v>
      </c>
      <c r="C29" s="47">
        <v>128.029264</v>
      </c>
      <c r="D29" s="48">
        <v>168.273612</v>
      </c>
      <c r="E29" s="48">
        <v>953.757101</v>
      </c>
      <c r="F29" s="48">
        <v>274.559182</v>
      </c>
      <c r="G29" s="48">
        <v>143.905216</v>
      </c>
      <c r="H29" s="48">
        <v>6</v>
      </c>
      <c r="I29" s="48">
        <v>10.975138</v>
      </c>
      <c r="J29" s="48">
        <v>60</v>
      </c>
      <c r="K29" s="48">
        <v>15.895952</v>
      </c>
      <c r="L29" s="48">
        <v>40</v>
      </c>
      <c r="M29" s="48">
        <v>1.194295</v>
      </c>
      <c r="N29" s="48">
        <v>1</v>
      </c>
      <c r="O29" s="60">
        <v>0</v>
      </c>
      <c r="P29" s="60">
        <v>0</v>
      </c>
      <c r="Q29" s="60">
        <v>-9.065385</v>
      </c>
      <c r="R29" s="68" t="s">
        <v>43</v>
      </c>
    </row>
    <row r="30" spans="1:18">
      <c r="A30" s="45"/>
      <c r="B30" s="46">
        <v>25</v>
      </c>
      <c r="C30" s="47">
        <v>158.512422</v>
      </c>
      <c r="D30" s="48">
        <v>206.37756</v>
      </c>
      <c r="E30" s="48">
        <v>970.108708</v>
      </c>
      <c r="F30" s="48">
        <v>277.091259</v>
      </c>
      <c r="G30" s="48">
        <v>143.905216</v>
      </c>
      <c r="H30" s="48">
        <v>6</v>
      </c>
      <c r="I30" s="48">
        <v>11.076355</v>
      </c>
      <c r="J30" s="48">
        <v>60</v>
      </c>
      <c r="K30" s="48">
        <v>16.168478</v>
      </c>
      <c r="L30" s="48">
        <v>40</v>
      </c>
      <c r="M30" s="48">
        <v>1.207907</v>
      </c>
      <c r="N30" s="48">
        <v>1</v>
      </c>
      <c r="O30" s="60">
        <v>0</v>
      </c>
      <c r="P30" s="60">
        <v>0</v>
      </c>
      <c r="Q30" s="60">
        <v>-4.45274</v>
      </c>
      <c r="R30" s="68" t="s">
        <v>43</v>
      </c>
    </row>
    <row r="31" spans="1:18">
      <c r="A31" s="45"/>
      <c r="B31" s="46">
        <v>30</v>
      </c>
      <c r="C31" s="47">
        <v>188.99558</v>
      </c>
      <c r="D31" s="48">
        <v>244.481508</v>
      </c>
      <c r="E31" s="48">
        <v>986.552708</v>
      </c>
      <c r="F31" s="48">
        <v>279.645773</v>
      </c>
      <c r="G31" s="48">
        <v>143.905216</v>
      </c>
      <c r="H31" s="48">
        <v>6</v>
      </c>
      <c r="I31" s="48">
        <v>11.178468</v>
      </c>
      <c r="J31" s="48">
        <v>60</v>
      </c>
      <c r="K31" s="48">
        <v>16.442545</v>
      </c>
      <c r="L31" s="48">
        <v>40</v>
      </c>
      <c r="M31" s="48">
        <v>1.221518</v>
      </c>
      <c r="N31" s="48">
        <v>1</v>
      </c>
      <c r="O31" s="60">
        <v>0.574613</v>
      </c>
      <c r="P31" s="60">
        <v>1</v>
      </c>
      <c r="Q31" s="60">
        <v>0.157468</v>
      </c>
      <c r="R31" s="68" t="s">
        <v>40</v>
      </c>
    </row>
    <row r="32" spans="1:18">
      <c r="A32" s="45"/>
      <c r="B32" s="46">
        <v>35</v>
      </c>
      <c r="C32" s="47">
        <v>219.478738</v>
      </c>
      <c r="D32" s="48">
        <v>282.585455</v>
      </c>
      <c r="E32" s="48">
        <v>1003.088584</v>
      </c>
      <c r="F32" s="48">
        <v>282.222725</v>
      </c>
      <c r="G32" s="48">
        <v>143.905216</v>
      </c>
      <c r="H32" s="48">
        <v>6</v>
      </c>
      <c r="I32" s="48">
        <v>11.281478</v>
      </c>
      <c r="J32" s="48">
        <v>60</v>
      </c>
      <c r="K32" s="48">
        <v>16.718143</v>
      </c>
      <c r="L32" s="48">
        <v>40</v>
      </c>
      <c r="M32" s="48">
        <v>1.23513</v>
      </c>
      <c r="N32" s="48">
        <v>1</v>
      </c>
      <c r="O32" s="60">
        <v>17.102074</v>
      </c>
      <c r="P32" s="60">
        <v>1</v>
      </c>
      <c r="Q32" s="60">
        <v>4.765249</v>
      </c>
      <c r="R32" s="68" t="s">
        <v>40</v>
      </c>
    </row>
    <row r="33" spans="1:18">
      <c r="A33" s="45"/>
      <c r="B33" s="46">
        <v>40</v>
      </c>
      <c r="C33" s="47">
        <v>249.961896</v>
      </c>
      <c r="D33" s="48">
        <v>320.689403</v>
      </c>
      <c r="E33" s="48">
        <v>1019.715828</v>
      </c>
      <c r="F33" s="48">
        <v>284.822114</v>
      </c>
      <c r="G33" s="48">
        <v>143.905216</v>
      </c>
      <c r="H33" s="48">
        <v>6</v>
      </c>
      <c r="I33" s="48">
        <v>11.385386</v>
      </c>
      <c r="J33" s="48">
        <v>60</v>
      </c>
      <c r="K33" s="48">
        <v>16.995264</v>
      </c>
      <c r="L33" s="48">
        <v>40</v>
      </c>
      <c r="M33" s="48">
        <v>1.248741</v>
      </c>
      <c r="N33" s="48">
        <v>1</v>
      </c>
      <c r="O33" s="60">
        <v>33.081955</v>
      </c>
      <c r="P33" s="60">
        <v>1</v>
      </c>
      <c r="Q33" s="60">
        <v>9.370609</v>
      </c>
      <c r="R33" s="68" t="s">
        <v>40</v>
      </c>
    </row>
    <row r="34" spans="1:18">
      <c r="A34" s="45"/>
      <c r="B34" s="46">
        <v>45</v>
      </c>
      <c r="C34" s="47">
        <v>280.445054</v>
      </c>
      <c r="D34" s="48">
        <v>358.79335</v>
      </c>
      <c r="E34" s="48">
        <v>1036.433943</v>
      </c>
      <c r="F34" s="48">
        <v>287.443942</v>
      </c>
      <c r="G34" s="48">
        <v>143.905216</v>
      </c>
      <c r="H34" s="48">
        <v>6</v>
      </c>
      <c r="I34" s="48">
        <v>11.49019</v>
      </c>
      <c r="J34" s="48">
        <v>60</v>
      </c>
      <c r="K34" s="48">
        <v>17.273899</v>
      </c>
      <c r="L34" s="48">
        <v>40</v>
      </c>
      <c r="M34" s="48">
        <v>1.262353</v>
      </c>
      <c r="N34" s="48">
        <v>1</v>
      </c>
      <c r="O34" s="60">
        <v>48.536436</v>
      </c>
      <c r="P34" s="60">
        <v>1</v>
      </c>
      <c r="Q34" s="60">
        <v>13.973558</v>
      </c>
      <c r="R34" s="68" t="s">
        <v>40</v>
      </c>
    </row>
    <row r="35" spans="1:18">
      <c r="A35" s="49"/>
      <c r="B35" s="50">
        <v>50</v>
      </c>
      <c r="C35" s="51">
        <v>310.928212</v>
      </c>
      <c r="D35" s="52">
        <v>396.897298</v>
      </c>
      <c r="E35" s="52">
        <v>1053.242435</v>
      </c>
      <c r="F35" s="52">
        <v>290.088207</v>
      </c>
      <c r="G35" s="52">
        <v>143.905216</v>
      </c>
      <c r="H35" s="52">
        <v>6</v>
      </c>
      <c r="I35" s="52">
        <v>11.595891</v>
      </c>
      <c r="J35" s="52">
        <v>60</v>
      </c>
      <c r="K35" s="52">
        <v>17.554041</v>
      </c>
      <c r="L35" s="52">
        <v>40</v>
      </c>
      <c r="M35" s="52">
        <v>1.275965</v>
      </c>
      <c r="N35" s="52">
        <v>1</v>
      </c>
      <c r="O35" s="52">
        <v>63.486594</v>
      </c>
      <c r="P35" s="52">
        <v>1</v>
      </c>
      <c r="Q35" s="52">
        <v>18.574104</v>
      </c>
      <c r="R35" s="69" t="s">
        <v>40</v>
      </c>
    </row>
    <row r="36" spans="3:18">
      <c r="C36" s="53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2"/>
      <c r="R36" s="2"/>
    </row>
    <row r="37" spans="3:18">
      <c r="C37" s="53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2"/>
      <c r="R37" s="2"/>
    </row>
    <row r="38" spans="1:18">
      <c r="A38" s="26" t="s">
        <v>44</v>
      </c>
      <c r="B38" s="26"/>
      <c r="C38" s="53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2"/>
      <c r="R38" s="2"/>
    </row>
    <row r="39" ht="60" customHeight="1" spans="1:18">
      <c r="A39" s="27" t="s">
        <v>28</v>
      </c>
      <c r="B39" s="28" t="s">
        <v>29</v>
      </c>
      <c r="C39" s="5" t="s">
        <v>30</v>
      </c>
      <c r="D39" s="29" t="s">
        <v>31</v>
      </c>
      <c r="E39" s="29" t="s">
        <v>32</v>
      </c>
      <c r="F39" s="29" t="s">
        <v>33</v>
      </c>
      <c r="G39" s="29" t="s">
        <v>34</v>
      </c>
      <c r="H39" s="29" t="s">
        <v>13</v>
      </c>
      <c r="I39" s="29" t="s">
        <v>35</v>
      </c>
      <c r="J39" s="29" t="s">
        <v>14</v>
      </c>
      <c r="K39" s="29" t="s">
        <v>36</v>
      </c>
      <c r="L39" s="29" t="s">
        <v>15</v>
      </c>
      <c r="M39" s="29" t="s">
        <v>37</v>
      </c>
      <c r="N39" s="29" t="s">
        <v>38</v>
      </c>
      <c r="O39" s="29" t="s">
        <v>39</v>
      </c>
      <c r="P39" s="29" t="s">
        <v>40</v>
      </c>
      <c r="Q39" s="29" t="s">
        <v>41</v>
      </c>
      <c r="R39" s="28" t="s">
        <v>42</v>
      </c>
    </row>
    <row r="40" spans="1:18">
      <c r="A40" s="30" t="s">
        <v>25</v>
      </c>
      <c r="B40" s="31">
        <v>5</v>
      </c>
      <c r="C40" s="32">
        <v>36.57979</v>
      </c>
      <c r="D40" s="33">
        <v>66.661213</v>
      </c>
      <c r="E40" s="33">
        <v>571.24635</v>
      </c>
      <c r="F40" s="33">
        <v>172.987148</v>
      </c>
      <c r="G40" s="33">
        <v>143.905216</v>
      </c>
      <c r="H40" s="33">
        <v>6</v>
      </c>
      <c r="I40" s="33">
        <v>6.914931</v>
      </c>
      <c r="J40" s="33">
        <v>60</v>
      </c>
      <c r="K40" s="33">
        <v>9.520773</v>
      </c>
      <c r="L40" s="33">
        <v>40</v>
      </c>
      <c r="M40" s="33">
        <v>0.882578</v>
      </c>
      <c r="N40" s="33">
        <v>1</v>
      </c>
      <c r="O40" s="33">
        <v>0</v>
      </c>
      <c r="P40" s="33">
        <v>0</v>
      </c>
      <c r="Q40" s="62">
        <v>-13.318281</v>
      </c>
      <c r="R40" s="63" t="s">
        <v>43</v>
      </c>
    </row>
    <row r="41" spans="1:18">
      <c r="A41" s="30"/>
      <c r="B41" s="31">
        <v>10</v>
      </c>
      <c r="C41" s="34">
        <v>67.062948</v>
      </c>
      <c r="D41" s="35">
        <v>104.76516</v>
      </c>
      <c r="E41" s="35">
        <v>584.512304</v>
      </c>
      <c r="F41" s="35">
        <v>175.955526</v>
      </c>
      <c r="G41" s="36">
        <v>143.905216</v>
      </c>
      <c r="H41" s="35">
        <v>6</v>
      </c>
      <c r="I41" s="35">
        <v>7.033588</v>
      </c>
      <c r="J41" s="35">
        <v>60</v>
      </c>
      <c r="K41" s="35">
        <v>9.741872</v>
      </c>
      <c r="L41" s="35">
        <v>40</v>
      </c>
      <c r="M41" s="35">
        <v>0.896189</v>
      </c>
      <c r="N41" s="35">
        <v>1</v>
      </c>
      <c r="O41" s="58">
        <v>0</v>
      </c>
      <c r="P41" s="58">
        <v>0</v>
      </c>
      <c r="Q41" s="55">
        <v>-8.671649</v>
      </c>
      <c r="R41" s="64" t="s">
        <v>43</v>
      </c>
    </row>
    <row r="42" spans="1:18">
      <c r="A42" s="30"/>
      <c r="B42" s="31">
        <v>15</v>
      </c>
      <c r="C42" s="34">
        <v>97.546106</v>
      </c>
      <c r="D42" s="35">
        <v>142.869108</v>
      </c>
      <c r="E42" s="35">
        <v>597.879387</v>
      </c>
      <c r="F42" s="35">
        <v>178.962056</v>
      </c>
      <c r="G42" s="36">
        <v>143.905216</v>
      </c>
      <c r="H42" s="35">
        <v>6</v>
      </c>
      <c r="I42" s="35">
        <v>7.15377</v>
      </c>
      <c r="J42" s="35">
        <v>60</v>
      </c>
      <c r="K42" s="35">
        <v>9.964656</v>
      </c>
      <c r="L42" s="35">
        <v>40</v>
      </c>
      <c r="M42" s="35">
        <v>0.909801</v>
      </c>
      <c r="N42" s="35">
        <v>1</v>
      </c>
      <c r="O42" s="58">
        <v>0</v>
      </c>
      <c r="P42" s="58">
        <v>0</v>
      </c>
      <c r="Q42" s="55">
        <v>-4.028228</v>
      </c>
      <c r="R42" s="64" t="s">
        <v>43</v>
      </c>
    </row>
    <row r="43" spans="1:18">
      <c r="A43" s="30"/>
      <c r="B43" s="31">
        <v>20</v>
      </c>
      <c r="C43" s="34">
        <v>128.029264</v>
      </c>
      <c r="D43" s="35">
        <v>180.973055</v>
      </c>
      <c r="E43" s="35">
        <v>611.346842</v>
      </c>
      <c r="F43" s="35">
        <v>182.006738</v>
      </c>
      <c r="G43" s="36">
        <v>143.905216</v>
      </c>
      <c r="H43" s="35">
        <v>6</v>
      </c>
      <c r="I43" s="35">
        <v>7.275478</v>
      </c>
      <c r="J43" s="35">
        <v>60</v>
      </c>
      <c r="K43" s="35">
        <v>10.189114</v>
      </c>
      <c r="L43" s="35">
        <v>40</v>
      </c>
      <c r="M43" s="35">
        <v>0.923412</v>
      </c>
      <c r="N43" s="35">
        <v>1</v>
      </c>
      <c r="O43" s="58">
        <v>3.603823</v>
      </c>
      <c r="P43" s="58">
        <v>1</v>
      </c>
      <c r="Q43" s="55">
        <v>0.611996</v>
      </c>
      <c r="R43" s="64" t="s">
        <v>40</v>
      </c>
    </row>
    <row r="44" spans="1:18">
      <c r="A44" s="30"/>
      <c r="B44" s="31">
        <v>25</v>
      </c>
      <c r="C44" s="34">
        <v>158.512422</v>
      </c>
      <c r="D44" s="35">
        <v>219.077003</v>
      </c>
      <c r="E44" s="35">
        <v>624.913925</v>
      </c>
      <c r="F44" s="35">
        <v>185.089572</v>
      </c>
      <c r="G44" s="36">
        <v>143.905216</v>
      </c>
      <c r="H44" s="35">
        <v>6</v>
      </c>
      <c r="I44" s="35">
        <v>7.39871</v>
      </c>
      <c r="J44" s="35">
        <v>60</v>
      </c>
      <c r="K44" s="35">
        <v>10.415232</v>
      </c>
      <c r="L44" s="35">
        <v>40</v>
      </c>
      <c r="M44" s="35">
        <v>0.937024</v>
      </c>
      <c r="N44" s="35">
        <v>1</v>
      </c>
      <c r="O44" s="58">
        <v>30.238601</v>
      </c>
      <c r="P44" s="58">
        <v>1</v>
      </c>
      <c r="Q44" s="55">
        <v>5.249034</v>
      </c>
      <c r="R44" s="64" t="s">
        <v>40</v>
      </c>
    </row>
    <row r="45" spans="1:18">
      <c r="A45" s="30"/>
      <c r="B45" s="31">
        <v>30</v>
      </c>
      <c r="C45" s="34">
        <v>188.99558</v>
      </c>
      <c r="D45" s="35">
        <v>257.18095</v>
      </c>
      <c r="E45" s="35">
        <v>638.57991</v>
      </c>
      <c r="F45" s="35">
        <v>188.210559</v>
      </c>
      <c r="G45" s="36">
        <v>143.905216</v>
      </c>
      <c r="H45" s="35">
        <v>6</v>
      </c>
      <c r="I45" s="35">
        <v>7.523467</v>
      </c>
      <c r="J45" s="35">
        <v>60</v>
      </c>
      <c r="K45" s="35">
        <v>10.642999</v>
      </c>
      <c r="L45" s="35">
        <v>40</v>
      </c>
      <c r="M45" s="35">
        <v>0.950636</v>
      </c>
      <c r="N45" s="35">
        <v>1</v>
      </c>
      <c r="O45" s="58">
        <v>55.714931</v>
      </c>
      <c r="P45" s="58">
        <v>1</v>
      </c>
      <c r="Q45" s="55">
        <v>9.882899</v>
      </c>
      <c r="R45" s="64" t="s">
        <v>40</v>
      </c>
    </row>
    <row r="46" spans="1:18">
      <c r="A46" s="30"/>
      <c r="B46" s="31">
        <v>35</v>
      </c>
      <c r="C46" s="34">
        <v>219.478738</v>
      </c>
      <c r="D46" s="35">
        <v>295.284898</v>
      </c>
      <c r="E46" s="35">
        <v>652.344086</v>
      </c>
      <c r="F46" s="35">
        <v>191.369697</v>
      </c>
      <c r="G46" s="36">
        <v>143.905216</v>
      </c>
      <c r="H46" s="35">
        <v>6</v>
      </c>
      <c r="I46" s="35">
        <v>7.649749</v>
      </c>
      <c r="J46" s="35">
        <v>60</v>
      </c>
      <c r="K46" s="35">
        <v>10.872401</v>
      </c>
      <c r="L46" s="35">
        <v>40</v>
      </c>
      <c r="M46" s="35">
        <v>0.964247</v>
      </c>
      <c r="N46" s="35">
        <v>1</v>
      </c>
      <c r="O46" s="58">
        <v>80.094183</v>
      </c>
      <c r="P46" s="58">
        <v>1</v>
      </c>
      <c r="Q46" s="55">
        <v>14.513602</v>
      </c>
      <c r="R46" s="64" t="s">
        <v>40</v>
      </c>
    </row>
    <row r="47" spans="1:18">
      <c r="A47" s="30"/>
      <c r="B47" s="31">
        <v>40</v>
      </c>
      <c r="C47" s="34">
        <v>249.961896</v>
      </c>
      <c r="D47" s="35">
        <v>333.388845</v>
      </c>
      <c r="E47" s="35">
        <v>666.205758</v>
      </c>
      <c r="F47" s="35">
        <v>194.566988</v>
      </c>
      <c r="G47" s="36">
        <v>143.905216</v>
      </c>
      <c r="H47" s="35">
        <v>6</v>
      </c>
      <c r="I47" s="35">
        <v>7.777557</v>
      </c>
      <c r="J47" s="35">
        <v>60</v>
      </c>
      <c r="K47" s="35">
        <v>11.103429</v>
      </c>
      <c r="L47" s="35">
        <v>40</v>
      </c>
      <c r="M47" s="35">
        <v>0.977859</v>
      </c>
      <c r="N47" s="35">
        <v>1</v>
      </c>
      <c r="O47" s="58">
        <v>103.433747</v>
      </c>
      <c r="P47" s="58">
        <v>1</v>
      </c>
      <c r="Q47" s="55">
        <v>19.141155</v>
      </c>
      <c r="R47" s="64" t="s">
        <v>40</v>
      </c>
    </row>
    <row r="48" spans="1:18">
      <c r="A48" s="30"/>
      <c r="B48" s="31">
        <v>45</v>
      </c>
      <c r="C48" s="34">
        <v>280.445054</v>
      </c>
      <c r="D48" s="35">
        <v>371.492793</v>
      </c>
      <c r="E48" s="35">
        <v>680.164245</v>
      </c>
      <c r="F48" s="35">
        <v>197.80243</v>
      </c>
      <c r="G48" s="36">
        <v>143.905216</v>
      </c>
      <c r="H48" s="35">
        <v>6</v>
      </c>
      <c r="I48" s="35">
        <v>7.906889</v>
      </c>
      <c r="J48" s="35">
        <v>60</v>
      </c>
      <c r="K48" s="35">
        <v>11.336071</v>
      </c>
      <c r="L48" s="35">
        <v>40</v>
      </c>
      <c r="M48" s="35">
        <v>0.991471</v>
      </c>
      <c r="N48" s="35">
        <v>1</v>
      </c>
      <c r="O48" s="58">
        <v>125.787338</v>
      </c>
      <c r="P48" s="58">
        <v>1</v>
      </c>
      <c r="Q48" s="55">
        <v>23.765569</v>
      </c>
      <c r="R48" s="64" t="s">
        <v>40</v>
      </c>
    </row>
    <row r="49" spans="1:18">
      <c r="A49" s="37"/>
      <c r="B49" s="38">
        <v>50</v>
      </c>
      <c r="C49" s="39">
        <v>310.928212</v>
      </c>
      <c r="D49" s="40">
        <v>409.596741</v>
      </c>
      <c r="E49" s="40">
        <v>694.21888</v>
      </c>
      <c r="F49" s="40">
        <v>201.076025</v>
      </c>
      <c r="G49" s="40">
        <v>143.905216</v>
      </c>
      <c r="H49" s="40">
        <v>6</v>
      </c>
      <c r="I49" s="40">
        <v>8.037747</v>
      </c>
      <c r="J49" s="40">
        <v>60</v>
      </c>
      <c r="K49" s="40">
        <v>11.570315</v>
      </c>
      <c r="L49" s="40">
        <v>40</v>
      </c>
      <c r="M49" s="40">
        <v>1.005082</v>
      </c>
      <c r="N49" s="40">
        <v>1</v>
      </c>
      <c r="O49" s="40">
        <v>147.205277</v>
      </c>
      <c r="P49" s="40">
        <v>1</v>
      </c>
      <c r="Q49" s="65">
        <v>28.386856</v>
      </c>
      <c r="R49" s="66" t="s">
        <v>40</v>
      </c>
    </row>
    <row r="50" spans="1:18">
      <c r="A50" s="41" t="s">
        <v>26</v>
      </c>
      <c r="B50" s="42">
        <v>5</v>
      </c>
      <c r="C50" s="43">
        <v>36.57979</v>
      </c>
      <c r="D50" s="44">
        <v>67.119862</v>
      </c>
      <c r="E50" s="44">
        <v>571.405425</v>
      </c>
      <c r="F50" s="44">
        <v>174.207908</v>
      </c>
      <c r="G50" s="44">
        <v>143.905216</v>
      </c>
      <c r="H50" s="44">
        <v>6</v>
      </c>
      <c r="I50" s="44">
        <v>6.96373</v>
      </c>
      <c r="J50" s="44">
        <v>60</v>
      </c>
      <c r="K50" s="44">
        <v>9.523424</v>
      </c>
      <c r="L50" s="44">
        <v>40</v>
      </c>
      <c r="M50" s="44">
        <v>0.882741</v>
      </c>
      <c r="N50" s="44">
        <v>1</v>
      </c>
      <c r="O50" s="59">
        <v>0</v>
      </c>
      <c r="P50" s="59">
        <v>0</v>
      </c>
      <c r="Q50" s="59">
        <v>-13.369895</v>
      </c>
      <c r="R50" s="67" t="s">
        <v>43</v>
      </c>
    </row>
    <row r="51" spans="1:18">
      <c r="A51" s="45"/>
      <c r="B51" s="46">
        <v>10</v>
      </c>
      <c r="C51" s="47">
        <v>67.062948</v>
      </c>
      <c r="D51" s="48">
        <v>105.22381</v>
      </c>
      <c r="E51" s="48">
        <v>584.672601</v>
      </c>
      <c r="F51" s="48">
        <v>177.299185</v>
      </c>
      <c r="G51" s="48">
        <v>143.905216</v>
      </c>
      <c r="H51" s="48">
        <v>6</v>
      </c>
      <c r="I51" s="48">
        <v>7.087299</v>
      </c>
      <c r="J51" s="48">
        <v>60</v>
      </c>
      <c r="K51" s="48">
        <v>9.744543</v>
      </c>
      <c r="L51" s="48">
        <v>40</v>
      </c>
      <c r="M51" s="48">
        <v>0.896353</v>
      </c>
      <c r="N51" s="48">
        <v>1</v>
      </c>
      <c r="O51" s="60">
        <v>0</v>
      </c>
      <c r="P51" s="60">
        <v>0</v>
      </c>
      <c r="Q51" s="60">
        <v>-8.728196</v>
      </c>
      <c r="R51" s="68" t="s">
        <v>43</v>
      </c>
    </row>
    <row r="52" spans="1:18">
      <c r="A52" s="45"/>
      <c r="B52" s="46">
        <v>15</v>
      </c>
      <c r="C52" s="47">
        <v>97.546106</v>
      </c>
      <c r="D52" s="48">
        <v>143.327758</v>
      </c>
      <c r="E52" s="48">
        <v>598.040897</v>
      </c>
      <c r="F52" s="48">
        <v>180.430488</v>
      </c>
      <c r="G52" s="48">
        <v>143.905216</v>
      </c>
      <c r="H52" s="48">
        <v>6</v>
      </c>
      <c r="I52" s="48">
        <v>7.212469</v>
      </c>
      <c r="J52" s="48">
        <v>60</v>
      </c>
      <c r="K52" s="48">
        <v>9.967348</v>
      </c>
      <c r="L52" s="48">
        <v>40</v>
      </c>
      <c r="M52" s="48">
        <v>0.909965</v>
      </c>
      <c r="N52" s="48">
        <v>1</v>
      </c>
      <c r="O52" s="60">
        <v>0</v>
      </c>
      <c r="P52" s="60">
        <v>0</v>
      </c>
      <c r="Q52" s="60">
        <v>-4.089782</v>
      </c>
      <c r="R52" s="68" t="s">
        <v>43</v>
      </c>
    </row>
    <row r="53" spans="1:18">
      <c r="A53" s="45"/>
      <c r="B53" s="46">
        <v>20</v>
      </c>
      <c r="C53" s="47">
        <v>128.029264</v>
      </c>
      <c r="D53" s="48">
        <v>181.431705</v>
      </c>
      <c r="E53" s="48">
        <v>611.509556</v>
      </c>
      <c r="F53" s="48">
        <v>183.601816</v>
      </c>
      <c r="G53" s="48">
        <v>143.905216</v>
      </c>
      <c r="H53" s="48">
        <v>6</v>
      </c>
      <c r="I53" s="48">
        <v>7.339239</v>
      </c>
      <c r="J53" s="48">
        <v>60</v>
      </c>
      <c r="K53" s="48">
        <v>10.191826</v>
      </c>
      <c r="L53" s="48">
        <v>40</v>
      </c>
      <c r="M53" s="48">
        <v>0.923576</v>
      </c>
      <c r="N53" s="48">
        <v>1</v>
      </c>
      <c r="O53" s="60">
        <v>3.210568</v>
      </c>
      <c r="P53" s="60">
        <v>1</v>
      </c>
      <c r="Q53" s="60">
        <v>0.545359</v>
      </c>
      <c r="R53" s="68" t="s">
        <v>40</v>
      </c>
    </row>
    <row r="54" spans="1:18">
      <c r="A54" s="45"/>
      <c r="B54" s="46">
        <v>25</v>
      </c>
      <c r="C54" s="47">
        <v>158.512422</v>
      </c>
      <c r="D54" s="48">
        <v>219.535653</v>
      </c>
      <c r="E54" s="48">
        <v>625.077833</v>
      </c>
      <c r="F54" s="48">
        <v>186.81317</v>
      </c>
      <c r="G54" s="48">
        <v>143.905216</v>
      </c>
      <c r="H54" s="48">
        <v>6</v>
      </c>
      <c r="I54" s="48">
        <v>7.467608</v>
      </c>
      <c r="J54" s="48">
        <v>60</v>
      </c>
      <c r="K54" s="48">
        <v>10.417964</v>
      </c>
      <c r="L54" s="48">
        <v>40</v>
      </c>
      <c r="M54" s="48">
        <v>0.937188</v>
      </c>
      <c r="N54" s="48">
        <v>1</v>
      </c>
      <c r="O54" s="60">
        <v>29.817189</v>
      </c>
      <c r="P54" s="60">
        <v>1</v>
      </c>
      <c r="Q54" s="60">
        <v>5.17724</v>
      </c>
      <c r="R54" s="68" t="s">
        <v>40</v>
      </c>
    </row>
    <row r="55" spans="1:18">
      <c r="A55" s="45"/>
      <c r="B55" s="46">
        <v>30</v>
      </c>
      <c r="C55" s="47">
        <v>188.99558</v>
      </c>
      <c r="D55" s="48">
        <v>257.6396</v>
      </c>
      <c r="E55" s="48">
        <v>638.745004</v>
      </c>
      <c r="F55" s="48">
        <v>190.064549</v>
      </c>
      <c r="G55" s="48">
        <v>143.905216</v>
      </c>
      <c r="H55" s="48">
        <v>6</v>
      </c>
      <c r="I55" s="48">
        <v>7.597578</v>
      </c>
      <c r="J55" s="48">
        <v>60</v>
      </c>
      <c r="K55" s="48">
        <v>10.64575</v>
      </c>
      <c r="L55" s="48">
        <v>40</v>
      </c>
      <c r="M55" s="48">
        <v>0.9508</v>
      </c>
      <c r="N55" s="48">
        <v>1</v>
      </c>
      <c r="O55" s="60">
        <v>55.266407</v>
      </c>
      <c r="P55" s="60">
        <v>1</v>
      </c>
      <c r="Q55" s="60">
        <v>9.805873</v>
      </c>
      <c r="R55" s="68" t="s">
        <v>40</v>
      </c>
    </row>
    <row r="56" spans="1:18">
      <c r="A56" s="45"/>
      <c r="B56" s="46">
        <v>35</v>
      </c>
      <c r="C56" s="47">
        <v>219.478738</v>
      </c>
      <c r="D56" s="48">
        <v>295.743548</v>
      </c>
      <c r="E56" s="48">
        <v>652.510358</v>
      </c>
      <c r="F56" s="48">
        <v>193.355954</v>
      </c>
      <c r="G56" s="48">
        <v>143.905216</v>
      </c>
      <c r="H56" s="48">
        <v>6</v>
      </c>
      <c r="I56" s="48">
        <v>7.729147</v>
      </c>
      <c r="J56" s="48">
        <v>60</v>
      </c>
      <c r="K56" s="48">
        <v>10.875173</v>
      </c>
      <c r="L56" s="48">
        <v>40</v>
      </c>
      <c r="M56" s="48">
        <v>0.964411</v>
      </c>
      <c r="N56" s="48">
        <v>1</v>
      </c>
      <c r="O56" s="60">
        <v>79.61953</v>
      </c>
      <c r="P56" s="60">
        <v>1</v>
      </c>
      <c r="Q56" s="60">
        <v>14.431269</v>
      </c>
      <c r="R56" s="68" t="s">
        <v>40</v>
      </c>
    </row>
    <row r="57" spans="1:18">
      <c r="A57" s="45"/>
      <c r="B57" s="46">
        <v>40</v>
      </c>
      <c r="C57" s="47">
        <v>249.961896</v>
      </c>
      <c r="D57" s="48">
        <v>333.847495</v>
      </c>
      <c r="E57" s="48">
        <v>666.3732</v>
      </c>
      <c r="F57" s="48">
        <v>196.687385</v>
      </c>
      <c r="G57" s="48">
        <v>143.905216</v>
      </c>
      <c r="H57" s="48">
        <v>6</v>
      </c>
      <c r="I57" s="48">
        <v>7.862317</v>
      </c>
      <c r="J57" s="48">
        <v>60</v>
      </c>
      <c r="K57" s="48">
        <v>11.10622</v>
      </c>
      <c r="L57" s="48">
        <v>40</v>
      </c>
      <c r="M57" s="48">
        <v>0.978023</v>
      </c>
      <c r="N57" s="48">
        <v>1</v>
      </c>
      <c r="O57" s="60">
        <v>102.93389</v>
      </c>
      <c r="P57" s="60">
        <v>1</v>
      </c>
      <c r="Q57" s="60">
        <v>19.05344</v>
      </c>
      <c r="R57" s="68" t="s">
        <v>40</v>
      </c>
    </row>
    <row r="58" spans="1:18">
      <c r="A58" s="45"/>
      <c r="B58" s="46">
        <v>45</v>
      </c>
      <c r="C58" s="47">
        <v>280.445054</v>
      </c>
      <c r="D58" s="48">
        <v>371.951443</v>
      </c>
      <c r="E58" s="48">
        <v>680.332848</v>
      </c>
      <c r="F58" s="48">
        <v>200.058841</v>
      </c>
      <c r="G58" s="48">
        <v>143.905216</v>
      </c>
      <c r="H58" s="48">
        <v>6</v>
      </c>
      <c r="I58" s="48">
        <v>7.997086</v>
      </c>
      <c r="J58" s="48">
        <v>60</v>
      </c>
      <c r="K58" s="48">
        <v>11.338881</v>
      </c>
      <c r="L58" s="48">
        <v>40</v>
      </c>
      <c r="M58" s="48">
        <v>0.991634</v>
      </c>
      <c r="N58" s="48">
        <v>1</v>
      </c>
      <c r="O58" s="60">
        <v>125.263149</v>
      </c>
      <c r="P58" s="60">
        <v>1</v>
      </c>
      <c r="Q58" s="60">
        <v>23.672399</v>
      </c>
      <c r="R58" s="68" t="s">
        <v>40</v>
      </c>
    </row>
    <row r="59" spans="1:18">
      <c r="A59" s="49"/>
      <c r="B59" s="50">
        <v>50</v>
      </c>
      <c r="C59" s="51">
        <v>310.928212</v>
      </c>
      <c r="D59" s="52">
        <v>410.055391</v>
      </c>
      <c r="E59" s="52">
        <v>694.388636</v>
      </c>
      <c r="F59" s="52">
        <v>203.470323</v>
      </c>
      <c r="G59" s="52">
        <v>143.905216</v>
      </c>
      <c r="H59" s="52">
        <v>6</v>
      </c>
      <c r="I59" s="52">
        <v>8.133456</v>
      </c>
      <c r="J59" s="52">
        <v>60</v>
      </c>
      <c r="K59" s="52">
        <v>11.573144</v>
      </c>
      <c r="L59" s="52">
        <v>40</v>
      </c>
      <c r="M59" s="52">
        <v>1.005246</v>
      </c>
      <c r="N59" s="52">
        <v>1</v>
      </c>
      <c r="O59" s="52">
        <v>146.657578</v>
      </c>
      <c r="P59" s="52">
        <v>1</v>
      </c>
      <c r="Q59" s="52">
        <v>28.288154</v>
      </c>
      <c r="R59" s="69" t="s">
        <v>40</v>
      </c>
    </row>
    <row r="60" spans="3:18">
      <c r="C60" s="53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2"/>
      <c r="R60" s="2"/>
    </row>
    <row r="61" spans="3:18">
      <c r="C61" s="53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2"/>
      <c r="R61" s="2"/>
    </row>
    <row r="62" spans="1:18">
      <c r="A62" s="26" t="s">
        <v>45</v>
      </c>
      <c r="B62" s="26"/>
      <c r="C62" s="53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2"/>
      <c r="R62" s="2"/>
    </row>
    <row r="63" ht="60" customHeight="1" spans="1:18">
      <c r="A63" s="27" t="s">
        <v>28</v>
      </c>
      <c r="B63" s="28" t="s">
        <v>29</v>
      </c>
      <c r="C63" s="5" t="s">
        <v>30</v>
      </c>
      <c r="D63" s="29" t="s">
        <v>31</v>
      </c>
      <c r="E63" s="29" t="s">
        <v>32</v>
      </c>
      <c r="F63" s="29" t="s">
        <v>33</v>
      </c>
      <c r="G63" s="29" t="s">
        <v>34</v>
      </c>
      <c r="H63" s="29" t="s">
        <v>13</v>
      </c>
      <c r="I63" s="29" t="s">
        <v>35</v>
      </c>
      <c r="J63" s="29" t="s">
        <v>14</v>
      </c>
      <c r="K63" s="29" t="s">
        <v>36</v>
      </c>
      <c r="L63" s="29" t="s">
        <v>15</v>
      </c>
      <c r="M63" s="29" t="s">
        <v>37</v>
      </c>
      <c r="N63" s="29" t="s">
        <v>38</v>
      </c>
      <c r="O63" s="29" t="s">
        <v>39</v>
      </c>
      <c r="P63" s="29" t="s">
        <v>40</v>
      </c>
      <c r="Q63" s="29" t="s">
        <v>41</v>
      </c>
      <c r="R63" s="28" t="s">
        <v>42</v>
      </c>
    </row>
    <row r="64" spans="1:18">
      <c r="A64" s="30" t="s">
        <v>25</v>
      </c>
      <c r="B64" s="31">
        <v>5</v>
      </c>
      <c r="C64" s="32">
        <v>36.57979</v>
      </c>
      <c r="D64" s="33">
        <v>63.361081</v>
      </c>
      <c r="E64" s="33">
        <v>750.986221</v>
      </c>
      <c r="F64" s="33">
        <v>269.489201</v>
      </c>
      <c r="G64" s="33">
        <v>143.905216</v>
      </c>
      <c r="H64" s="33">
        <v>6</v>
      </c>
      <c r="I64" s="33">
        <v>10.772473</v>
      </c>
      <c r="J64" s="33">
        <v>60</v>
      </c>
      <c r="K64" s="33">
        <v>12.516437</v>
      </c>
      <c r="L64" s="33">
        <v>40</v>
      </c>
      <c r="M64" s="33">
        <v>1.165748</v>
      </c>
      <c r="N64" s="33">
        <v>1</v>
      </c>
      <c r="O64" s="33">
        <v>0</v>
      </c>
      <c r="P64" s="33">
        <v>0</v>
      </c>
      <c r="Q64" s="62">
        <v>-20.454658</v>
      </c>
      <c r="R64" s="63" t="s">
        <v>43</v>
      </c>
    </row>
    <row r="65" spans="1:18">
      <c r="A65" s="30"/>
      <c r="B65" s="31">
        <v>10</v>
      </c>
      <c r="C65" s="34">
        <v>67.062948</v>
      </c>
      <c r="D65" s="35">
        <v>101.465028</v>
      </c>
      <c r="E65" s="35">
        <v>764.17764</v>
      </c>
      <c r="F65" s="35">
        <v>272.291123</v>
      </c>
      <c r="G65" s="36">
        <v>143.905216</v>
      </c>
      <c r="H65" s="35">
        <v>6</v>
      </c>
      <c r="I65" s="35">
        <v>10.884476</v>
      </c>
      <c r="J65" s="35">
        <v>60</v>
      </c>
      <c r="K65" s="35">
        <v>12.736294</v>
      </c>
      <c r="L65" s="35">
        <v>40</v>
      </c>
      <c r="M65" s="35">
        <v>1.17936</v>
      </c>
      <c r="N65" s="35">
        <v>1</v>
      </c>
      <c r="O65" s="58">
        <v>0</v>
      </c>
      <c r="P65" s="58">
        <v>0</v>
      </c>
      <c r="Q65" s="55">
        <v>-15.80013</v>
      </c>
      <c r="R65" s="64" t="s">
        <v>43</v>
      </c>
    </row>
    <row r="66" spans="1:18">
      <c r="A66" s="30"/>
      <c r="B66" s="31">
        <v>15</v>
      </c>
      <c r="C66" s="34">
        <v>97.546106</v>
      </c>
      <c r="D66" s="35">
        <v>139.568976</v>
      </c>
      <c r="E66" s="35">
        <v>777.445405</v>
      </c>
      <c r="F66" s="35">
        <v>275.114886</v>
      </c>
      <c r="G66" s="36">
        <v>143.905216</v>
      </c>
      <c r="H66" s="35">
        <v>6</v>
      </c>
      <c r="I66" s="35">
        <v>10.997352</v>
      </c>
      <c r="J66" s="35">
        <v>60</v>
      </c>
      <c r="K66" s="35">
        <v>12.957423</v>
      </c>
      <c r="L66" s="35">
        <v>40</v>
      </c>
      <c r="M66" s="35">
        <v>1.192972</v>
      </c>
      <c r="N66" s="35">
        <v>1</v>
      </c>
      <c r="O66" s="58">
        <v>0</v>
      </c>
      <c r="P66" s="58">
        <v>0</v>
      </c>
      <c r="Q66" s="55">
        <v>-11.147747</v>
      </c>
      <c r="R66" s="64" t="s">
        <v>43</v>
      </c>
    </row>
    <row r="67" spans="1:18">
      <c r="A67" s="30"/>
      <c r="B67" s="31">
        <v>20</v>
      </c>
      <c r="C67" s="34">
        <v>128.029264</v>
      </c>
      <c r="D67" s="35">
        <v>177.672923</v>
      </c>
      <c r="E67" s="35">
        <v>790.789079</v>
      </c>
      <c r="F67" s="35">
        <v>277.960492</v>
      </c>
      <c r="G67" s="36">
        <v>143.905216</v>
      </c>
      <c r="H67" s="35">
        <v>6</v>
      </c>
      <c r="I67" s="35">
        <v>11.111101</v>
      </c>
      <c r="J67" s="35">
        <v>60</v>
      </c>
      <c r="K67" s="35">
        <v>13.179818</v>
      </c>
      <c r="L67" s="35">
        <v>40</v>
      </c>
      <c r="M67" s="35">
        <v>1.206583</v>
      </c>
      <c r="N67" s="35">
        <v>1</v>
      </c>
      <c r="O67" s="58">
        <v>0</v>
      </c>
      <c r="P67" s="58">
        <v>0</v>
      </c>
      <c r="Q67" s="55">
        <v>-6.497503</v>
      </c>
      <c r="R67" s="64" t="s">
        <v>43</v>
      </c>
    </row>
    <row r="68" spans="1:18">
      <c r="A68" s="30"/>
      <c r="B68" s="31">
        <v>25</v>
      </c>
      <c r="C68" s="34">
        <v>158.512422</v>
      </c>
      <c r="D68" s="35">
        <v>215.776871</v>
      </c>
      <c r="E68" s="35">
        <v>804.208232</v>
      </c>
      <c r="F68" s="35">
        <v>280.827939</v>
      </c>
      <c r="G68" s="36">
        <v>143.905216</v>
      </c>
      <c r="H68" s="35">
        <v>6</v>
      </c>
      <c r="I68" s="35">
        <v>11.225724</v>
      </c>
      <c r="J68" s="35">
        <v>60</v>
      </c>
      <c r="K68" s="35">
        <v>13.403471</v>
      </c>
      <c r="L68" s="35">
        <v>40</v>
      </c>
      <c r="M68" s="35">
        <v>1.220195</v>
      </c>
      <c r="N68" s="35">
        <v>1</v>
      </c>
      <c r="O68" s="58">
        <v>0</v>
      </c>
      <c r="P68" s="58">
        <v>0</v>
      </c>
      <c r="Q68" s="55">
        <v>-1.849389</v>
      </c>
      <c r="R68" s="64" t="s">
        <v>43</v>
      </c>
    </row>
    <row r="69" spans="1:18">
      <c r="A69" s="30"/>
      <c r="B69" s="31">
        <v>30</v>
      </c>
      <c r="C69" s="34">
        <v>188.99558</v>
      </c>
      <c r="D69" s="35">
        <v>253.880818</v>
      </c>
      <c r="E69" s="35">
        <v>817.702443</v>
      </c>
      <c r="F69" s="35">
        <v>283.717228</v>
      </c>
      <c r="G69" s="36">
        <v>143.905216</v>
      </c>
      <c r="H69" s="35">
        <v>6</v>
      </c>
      <c r="I69" s="35">
        <v>11.341219</v>
      </c>
      <c r="J69" s="35">
        <v>60</v>
      </c>
      <c r="K69" s="35">
        <v>13.628374</v>
      </c>
      <c r="L69" s="35">
        <v>40</v>
      </c>
      <c r="M69" s="35">
        <v>1.233806</v>
      </c>
      <c r="N69" s="35">
        <v>1</v>
      </c>
      <c r="O69" s="58">
        <v>12.312255</v>
      </c>
      <c r="P69" s="58">
        <v>1</v>
      </c>
      <c r="Q69" s="55">
        <v>2.7966</v>
      </c>
      <c r="R69" s="64" t="s">
        <v>40</v>
      </c>
    </row>
    <row r="70" spans="1:18">
      <c r="A70" s="30"/>
      <c r="B70" s="31">
        <v>35</v>
      </c>
      <c r="C70" s="34">
        <v>219.478738</v>
      </c>
      <c r="D70" s="35">
        <v>291.984766</v>
      </c>
      <c r="E70" s="35">
        <v>831.271296</v>
      </c>
      <c r="F70" s="35">
        <v>286.62836</v>
      </c>
      <c r="G70" s="36">
        <v>143.905216</v>
      </c>
      <c r="H70" s="35">
        <v>6</v>
      </c>
      <c r="I70" s="35">
        <v>11.457588</v>
      </c>
      <c r="J70" s="35">
        <v>60</v>
      </c>
      <c r="K70" s="35">
        <v>13.854522</v>
      </c>
      <c r="L70" s="35">
        <v>40</v>
      </c>
      <c r="M70" s="35">
        <v>1.247418</v>
      </c>
      <c r="N70" s="35">
        <v>1</v>
      </c>
      <c r="O70" s="58">
        <v>32.222574</v>
      </c>
      <c r="P70" s="58">
        <v>1</v>
      </c>
      <c r="Q70" s="55">
        <v>7.440472</v>
      </c>
      <c r="R70" s="64" t="s">
        <v>40</v>
      </c>
    </row>
    <row r="71" spans="1:18">
      <c r="A71" s="30"/>
      <c r="B71" s="31">
        <v>40</v>
      </c>
      <c r="C71" s="34">
        <v>249.961896</v>
      </c>
      <c r="D71" s="35">
        <v>330.088714</v>
      </c>
      <c r="E71" s="35">
        <v>844.914384</v>
      </c>
      <c r="F71" s="35">
        <v>289.561333</v>
      </c>
      <c r="G71" s="36">
        <v>143.905216</v>
      </c>
      <c r="H71" s="35">
        <v>6</v>
      </c>
      <c r="I71" s="35">
        <v>11.574829</v>
      </c>
      <c r="J71" s="35">
        <v>60</v>
      </c>
      <c r="K71" s="35">
        <v>14.081906</v>
      </c>
      <c r="L71" s="35">
        <v>40</v>
      </c>
      <c r="M71" s="35">
        <v>1.26103</v>
      </c>
      <c r="N71" s="35">
        <v>1</v>
      </c>
      <c r="O71" s="58">
        <v>51.479824</v>
      </c>
      <c r="P71" s="58">
        <v>1</v>
      </c>
      <c r="Q71" s="55">
        <v>12.082234</v>
      </c>
      <c r="R71" s="64" t="s">
        <v>40</v>
      </c>
    </row>
    <row r="72" spans="1:18">
      <c r="A72" s="30"/>
      <c r="B72" s="31">
        <v>45</v>
      </c>
      <c r="C72" s="34">
        <v>280.445054</v>
      </c>
      <c r="D72" s="35">
        <v>368.192661</v>
      </c>
      <c r="E72" s="35">
        <v>858.631303</v>
      </c>
      <c r="F72" s="35">
        <v>292.516148</v>
      </c>
      <c r="G72" s="36">
        <v>143.905216</v>
      </c>
      <c r="H72" s="35">
        <v>6</v>
      </c>
      <c r="I72" s="35">
        <v>11.692944</v>
      </c>
      <c r="J72" s="35">
        <v>60</v>
      </c>
      <c r="K72" s="35">
        <v>14.310522</v>
      </c>
      <c r="L72" s="35">
        <v>40</v>
      </c>
      <c r="M72" s="35">
        <v>1.274641</v>
      </c>
      <c r="N72" s="35">
        <v>1</v>
      </c>
      <c r="O72" s="58">
        <v>70.110201</v>
      </c>
      <c r="P72" s="58">
        <v>1</v>
      </c>
      <c r="Q72" s="55">
        <v>16.721893</v>
      </c>
      <c r="R72" s="64" t="s">
        <v>40</v>
      </c>
    </row>
    <row r="73" spans="1:18">
      <c r="A73" s="37"/>
      <c r="B73" s="38">
        <v>50</v>
      </c>
      <c r="C73" s="39">
        <v>310.928212</v>
      </c>
      <c r="D73" s="40">
        <v>406.296609</v>
      </c>
      <c r="E73" s="40">
        <v>872.42166</v>
      </c>
      <c r="F73" s="40">
        <v>295.492805</v>
      </c>
      <c r="G73" s="40">
        <v>143.905216</v>
      </c>
      <c r="H73" s="40">
        <v>6</v>
      </c>
      <c r="I73" s="40">
        <v>11.811932</v>
      </c>
      <c r="J73" s="40">
        <v>60</v>
      </c>
      <c r="K73" s="40">
        <v>14.540361</v>
      </c>
      <c r="L73" s="40">
        <v>40</v>
      </c>
      <c r="M73" s="40">
        <v>1.288253</v>
      </c>
      <c r="N73" s="40">
        <v>1</v>
      </c>
      <c r="O73" s="40">
        <v>88.138612</v>
      </c>
      <c r="P73" s="40">
        <v>1</v>
      </c>
      <c r="Q73" s="65">
        <v>21.359454</v>
      </c>
      <c r="R73" s="66" t="s">
        <v>40</v>
      </c>
    </row>
    <row r="74" spans="1:18">
      <c r="A74" s="41" t="s">
        <v>26</v>
      </c>
      <c r="B74" s="42">
        <v>5</v>
      </c>
      <c r="C74" s="43">
        <v>36.57979</v>
      </c>
      <c r="D74" s="44">
        <v>63.747467</v>
      </c>
      <c r="E74" s="44">
        <v>751.119602</v>
      </c>
      <c r="F74" s="44">
        <v>268.501955</v>
      </c>
      <c r="G74" s="44">
        <v>143.905216</v>
      </c>
      <c r="H74" s="44">
        <v>6</v>
      </c>
      <c r="I74" s="44">
        <v>10.733009</v>
      </c>
      <c r="J74" s="44">
        <v>60</v>
      </c>
      <c r="K74" s="44">
        <v>12.51866</v>
      </c>
      <c r="L74" s="44">
        <v>40</v>
      </c>
      <c r="M74" s="44">
        <v>1.165886</v>
      </c>
      <c r="N74" s="44">
        <v>1</v>
      </c>
      <c r="O74" s="59">
        <v>0</v>
      </c>
      <c r="P74" s="59">
        <v>0</v>
      </c>
      <c r="Q74" s="59">
        <v>-20.417555</v>
      </c>
      <c r="R74" s="67" t="s">
        <v>43</v>
      </c>
    </row>
    <row r="75" spans="1:18">
      <c r="A75" s="45"/>
      <c r="B75" s="46">
        <v>10</v>
      </c>
      <c r="C75" s="47">
        <v>67.062948</v>
      </c>
      <c r="D75" s="48">
        <v>101.851414</v>
      </c>
      <c r="E75" s="48">
        <v>764.311797</v>
      </c>
      <c r="F75" s="48">
        <v>271.396506</v>
      </c>
      <c r="G75" s="48">
        <v>143.905216</v>
      </c>
      <c r="H75" s="48">
        <v>6</v>
      </c>
      <c r="I75" s="48">
        <v>10.848715</v>
      </c>
      <c r="J75" s="48">
        <v>60</v>
      </c>
      <c r="K75" s="48">
        <v>12.73853</v>
      </c>
      <c r="L75" s="48">
        <v>40</v>
      </c>
      <c r="M75" s="48">
        <v>1.179498</v>
      </c>
      <c r="N75" s="48">
        <v>1</v>
      </c>
      <c r="O75" s="60">
        <v>0</v>
      </c>
      <c r="P75" s="60">
        <v>0</v>
      </c>
      <c r="Q75" s="60">
        <v>-15.766743</v>
      </c>
      <c r="R75" s="68" t="s">
        <v>43</v>
      </c>
    </row>
    <row r="76" spans="1:18">
      <c r="A76" s="45"/>
      <c r="B76" s="46">
        <v>15</v>
      </c>
      <c r="C76" s="47">
        <v>97.546106</v>
      </c>
      <c r="D76" s="48">
        <v>139.955362</v>
      </c>
      <c r="E76" s="48">
        <v>777.580334</v>
      </c>
      <c r="F76" s="48">
        <v>274.313972</v>
      </c>
      <c r="G76" s="48">
        <v>143.905216</v>
      </c>
      <c r="H76" s="48">
        <v>6</v>
      </c>
      <c r="I76" s="48">
        <v>10.965337</v>
      </c>
      <c r="J76" s="48">
        <v>60</v>
      </c>
      <c r="K76" s="48">
        <v>12.959672</v>
      </c>
      <c r="L76" s="48">
        <v>40</v>
      </c>
      <c r="M76" s="48">
        <v>1.19311</v>
      </c>
      <c r="N76" s="48">
        <v>1</v>
      </c>
      <c r="O76" s="60">
        <v>0</v>
      </c>
      <c r="P76" s="60">
        <v>0</v>
      </c>
      <c r="Q76" s="60">
        <v>-11.118118</v>
      </c>
      <c r="R76" s="68" t="s">
        <v>43</v>
      </c>
    </row>
    <row r="77" spans="1:18">
      <c r="A77" s="45"/>
      <c r="B77" s="46">
        <v>20</v>
      </c>
      <c r="C77" s="47">
        <v>128.029264</v>
      </c>
      <c r="D77" s="48">
        <v>178.059309</v>
      </c>
      <c r="E77" s="48">
        <v>790.924775</v>
      </c>
      <c r="F77" s="48">
        <v>277.254352</v>
      </c>
      <c r="G77" s="48">
        <v>143.905216</v>
      </c>
      <c r="H77" s="48">
        <v>6</v>
      </c>
      <c r="I77" s="48">
        <v>11.082874</v>
      </c>
      <c r="J77" s="48">
        <v>60</v>
      </c>
      <c r="K77" s="48">
        <v>13.18208</v>
      </c>
      <c r="L77" s="48">
        <v>40</v>
      </c>
      <c r="M77" s="48">
        <v>1.206721</v>
      </c>
      <c r="N77" s="48">
        <v>1</v>
      </c>
      <c r="O77" s="60">
        <v>0</v>
      </c>
      <c r="P77" s="60">
        <v>0</v>
      </c>
      <c r="Q77" s="60">
        <v>-6.471675</v>
      </c>
      <c r="R77" s="68" t="s">
        <v>43</v>
      </c>
    </row>
    <row r="78" spans="1:18">
      <c r="A78" s="45"/>
      <c r="B78" s="46">
        <v>25</v>
      </c>
      <c r="C78" s="47">
        <v>158.512422</v>
      </c>
      <c r="D78" s="48">
        <v>216.163257</v>
      </c>
      <c r="E78" s="48">
        <v>804.344692</v>
      </c>
      <c r="F78" s="48">
        <v>280.217647</v>
      </c>
      <c r="G78" s="48">
        <v>143.905216</v>
      </c>
      <c r="H78" s="48">
        <v>6</v>
      </c>
      <c r="I78" s="48">
        <v>11.201328</v>
      </c>
      <c r="J78" s="48">
        <v>60</v>
      </c>
      <c r="K78" s="48">
        <v>13.405745</v>
      </c>
      <c r="L78" s="48">
        <v>40</v>
      </c>
      <c r="M78" s="48">
        <v>1.220333</v>
      </c>
      <c r="N78" s="48">
        <v>1</v>
      </c>
      <c r="O78" s="60">
        <v>0</v>
      </c>
      <c r="P78" s="60">
        <v>0</v>
      </c>
      <c r="Q78" s="60">
        <v>-1.827406</v>
      </c>
      <c r="R78" s="68" t="s">
        <v>43</v>
      </c>
    </row>
    <row r="79" spans="1:18">
      <c r="A79" s="45"/>
      <c r="B79" s="46">
        <v>30</v>
      </c>
      <c r="C79" s="47">
        <v>188.99558</v>
      </c>
      <c r="D79" s="48">
        <v>254.267205</v>
      </c>
      <c r="E79" s="48">
        <v>817.839662</v>
      </c>
      <c r="F79" s="48">
        <v>283.203857</v>
      </c>
      <c r="G79" s="48">
        <v>143.905216</v>
      </c>
      <c r="H79" s="48">
        <v>6</v>
      </c>
      <c r="I79" s="48">
        <v>11.320698</v>
      </c>
      <c r="J79" s="48">
        <v>60</v>
      </c>
      <c r="K79" s="48">
        <v>13.630661</v>
      </c>
      <c r="L79" s="48">
        <v>40</v>
      </c>
      <c r="M79" s="48">
        <v>1.233945</v>
      </c>
      <c r="N79" s="48">
        <v>1</v>
      </c>
      <c r="O79" s="60">
        <v>12.389846</v>
      </c>
      <c r="P79" s="60">
        <v>1</v>
      </c>
      <c r="Q79" s="60">
        <v>2.814697</v>
      </c>
      <c r="R79" s="68" t="s">
        <v>40</v>
      </c>
    </row>
    <row r="80" spans="1:18">
      <c r="A80" s="45"/>
      <c r="B80" s="46">
        <v>35</v>
      </c>
      <c r="C80" s="47">
        <v>219.478738</v>
      </c>
      <c r="D80" s="48">
        <v>292.371152</v>
      </c>
      <c r="E80" s="48">
        <v>831.40927</v>
      </c>
      <c r="F80" s="48">
        <v>286.212981</v>
      </c>
      <c r="G80" s="48">
        <v>143.905216</v>
      </c>
      <c r="H80" s="48">
        <v>6</v>
      </c>
      <c r="I80" s="48">
        <v>11.440984</v>
      </c>
      <c r="J80" s="48">
        <v>60</v>
      </c>
      <c r="K80" s="48">
        <v>13.856821</v>
      </c>
      <c r="L80" s="48">
        <v>40</v>
      </c>
      <c r="M80" s="48">
        <v>1.247556</v>
      </c>
      <c r="N80" s="48">
        <v>1</v>
      </c>
      <c r="O80" s="60">
        <v>32.278568</v>
      </c>
      <c r="P80" s="60">
        <v>1</v>
      </c>
      <c r="Q80" s="60">
        <v>7.454639</v>
      </c>
      <c r="R80" s="68" t="s">
        <v>40</v>
      </c>
    </row>
    <row r="81" spans="1:18">
      <c r="A81" s="45"/>
      <c r="B81" s="46">
        <v>40</v>
      </c>
      <c r="C81" s="47">
        <v>249.961896</v>
      </c>
      <c r="D81" s="48">
        <v>330.4751</v>
      </c>
      <c r="E81" s="48">
        <v>845.053108</v>
      </c>
      <c r="F81" s="48">
        <v>289.245019</v>
      </c>
      <c r="G81" s="48">
        <v>143.905216</v>
      </c>
      <c r="H81" s="48">
        <v>6</v>
      </c>
      <c r="I81" s="48">
        <v>11.562185</v>
      </c>
      <c r="J81" s="48">
        <v>60</v>
      </c>
      <c r="K81" s="48">
        <v>14.084218</v>
      </c>
      <c r="L81" s="48">
        <v>40</v>
      </c>
      <c r="M81" s="48">
        <v>1.261168</v>
      </c>
      <c r="N81" s="48">
        <v>1</v>
      </c>
      <c r="O81" s="60">
        <v>51.514801</v>
      </c>
      <c r="P81" s="60">
        <v>1</v>
      </c>
      <c r="Q81" s="60">
        <v>12.092429</v>
      </c>
      <c r="R81" s="68" t="s">
        <v>40</v>
      </c>
    </row>
    <row r="82" spans="1:18">
      <c r="A82" s="45"/>
      <c r="B82" s="46">
        <v>45</v>
      </c>
      <c r="C82" s="47">
        <v>280.445054</v>
      </c>
      <c r="D82" s="48">
        <v>368.579047</v>
      </c>
      <c r="E82" s="48">
        <v>858.770774</v>
      </c>
      <c r="F82" s="48">
        <v>292.299972</v>
      </c>
      <c r="G82" s="48">
        <v>143.905216</v>
      </c>
      <c r="H82" s="48">
        <v>6</v>
      </c>
      <c r="I82" s="48">
        <v>11.684303</v>
      </c>
      <c r="J82" s="48">
        <v>60</v>
      </c>
      <c r="K82" s="48">
        <v>14.312846</v>
      </c>
      <c r="L82" s="48">
        <v>40</v>
      </c>
      <c r="M82" s="48">
        <v>1.274779</v>
      </c>
      <c r="N82" s="48">
        <v>1</v>
      </c>
      <c r="O82" s="60">
        <v>70.124717</v>
      </c>
      <c r="P82" s="60">
        <v>1</v>
      </c>
      <c r="Q82" s="60">
        <v>16.728071</v>
      </c>
      <c r="R82" s="68" t="s">
        <v>40</v>
      </c>
    </row>
    <row r="83" spans="1:18">
      <c r="A83" s="49"/>
      <c r="B83" s="50">
        <v>50</v>
      </c>
      <c r="C83" s="51">
        <v>310.928212</v>
      </c>
      <c r="D83" s="52">
        <v>406.682995</v>
      </c>
      <c r="E83" s="52">
        <v>872.561873</v>
      </c>
      <c r="F83" s="52">
        <v>295.37784</v>
      </c>
      <c r="G83" s="52">
        <v>143.905216</v>
      </c>
      <c r="H83" s="52">
        <v>6</v>
      </c>
      <c r="I83" s="52">
        <v>11.807337</v>
      </c>
      <c r="J83" s="52">
        <v>60</v>
      </c>
      <c r="K83" s="52">
        <v>14.542698</v>
      </c>
      <c r="L83" s="52">
        <v>40</v>
      </c>
      <c r="M83" s="52">
        <v>1.288391</v>
      </c>
      <c r="N83" s="52">
        <v>1</v>
      </c>
      <c r="O83" s="52">
        <v>88.133198</v>
      </c>
      <c r="P83" s="52">
        <v>1</v>
      </c>
      <c r="Q83" s="52">
        <v>21.361575</v>
      </c>
      <c r="R83" s="69" t="s">
        <v>40</v>
      </c>
    </row>
  </sheetData>
  <mergeCells count="9">
    <mergeCell ref="A14:B14"/>
    <mergeCell ref="A38:B38"/>
    <mergeCell ref="A62:B62"/>
    <mergeCell ref="A16:A25"/>
    <mergeCell ref="A26:A35"/>
    <mergeCell ref="A40:A49"/>
    <mergeCell ref="A50:A59"/>
    <mergeCell ref="A64:A73"/>
    <mergeCell ref="A74:A83"/>
  </mergeCell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2025-10-20T03:26:05Z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384193DA38FB46339DA381B3EE611B35_12</vt:lpwstr>
  </property>
  <property fmtid="{D5CDD505-2E9C-101B-9397-08002B2CF9AE}" pid="3" name="KSOProductBuildVer">
    <vt:lpwstr>1033-12.2.0.23131</vt:lpwstr>
  </property>
  <property fmtid="{D5CDD505-2E9C-101B-9397-08002B2CF9AE}" pid="4" name="KSOReadingLayout">
    <vt:bool>false</vt:bool>
  </property>
</Properties>
</file>