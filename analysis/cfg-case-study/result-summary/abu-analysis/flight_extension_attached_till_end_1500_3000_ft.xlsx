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24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<sst xmlns="http://schemas.openxmlformats.org/spreadsheetml/2006/main" count="126" uniqueCount="39">
  <si>
    <t>ABUs' assumptions:</t>
  </si>
  <si>
    <t>Number of ABUs attached</t>
  </si>
  <si>
    <t>Energy reserved for ABU's own safe operations (kWh)</t>
  </si>
  <si>
    <t>Structural fraction of battery mass</t>
  </si>
  <si>
    <t>Integration hardware fraction of battery mass</t>
  </si>
  <si>
    <t>Parameters</t>
  </si>
  <si>
    <t>n_abus</t>
  </si>
  <si>
    <t>E_abu_ops_total_kwh</t>
  </si>
  <si>
    <t>struct_frac</t>
  </si>
  <si>
    <t>integration_frac</t>
  </si>
  <si>
    <t>Note:</t>
  </si>
  <si>
    <t>ABU attach at the start and detach at the end of the cruise segment</t>
  </si>
  <si>
    <t>Value</t>
  </si>
  <si>
    <t>E_saved_kwh = baseline_cruise_energy_kwh - (E_cruise_attach_kwh - E_abu_used_kwh)</t>
  </si>
  <si>
    <t>Extended flight range = Extended cruise range</t>
  </si>
  <si>
    <t>Archer Midnight</t>
  </si>
  <si>
    <t>Altitude</t>
  </si>
  <si>
    <t>ABU Energy
Sweep</t>
  </si>
  <si>
    <t>Total Mission Range</t>
  </si>
  <si>
    <t>1500 ft - 30 mi mission</t>
  </si>
  <si>
    <t>1500 ft - 45 mi mission</t>
  </si>
  <si>
    <t>1500 ft - 60 mi mission</t>
  </si>
  <si>
    <t>E_abu_mission_kwh</t>
  </si>
  <si>
    <t>m_abu_batt_kg</t>
  </si>
  <si>
    <t>m_abu_total_all_kg</t>
  </si>
  <si>
    <t>baseline_cruise_energy_kwh</t>
  </si>
  <si>
    <t>E_cruise_attach_kwh</t>
  </si>
  <si>
    <t>E_abu_used_kwh</t>
  </si>
  <si>
    <t>E_saved_kwh</t>
  </si>
  <si>
    <t>extra_time_s</t>
  </si>
  <si>
    <t>extra_range_mi</t>
  </si>
  <si>
    <t>1500 ft</t>
  </si>
  <si>
    <t>3000 ft - 30 mi mission</t>
  </si>
  <si>
    <t>3000 ft - 45 mi mission</t>
  </si>
  <si>
    <t>3000 ft - 60 mi mission</t>
  </si>
  <si>
    <t>3000 ft</t>
  </si>
  <si>
    <t>Joby S4</t>
  </si>
  <si>
    <t>ABU Energy</t>
  </si>
  <si>
    <t>Supernal S-A2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</si>
</sst>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 "/>
    <numFmt numFmtId="179" formatCode="0.00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7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78" fontId="0" fillId="0" borderId="0" xfId="0" applyNumberFormat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8" fontId="0" fillId="0" borderId="12" xfId="0" applyNumberFormat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78" fontId="0" fillId="0" borderId="13" xfId="0" applyNumberFormat="1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78" fontId="0" fillId="3" borderId="12" xfId="0" applyNumberFormat="1" applyFill="1" applyBorder="1" applyAlignment="1">
      <alignment horizontal="center" vertical="center" wrapText="1"/>
    </xf>
    <xf numFmtId="178" fontId="0" fillId="3" borderId="0" xfId="0" applyNumberFormat="1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178" fontId="0" fillId="3" borderId="13" xfId="0" applyNumberFormat="1" applyFill="1" applyBorder="1" applyAlignment="1">
      <alignment horizontal="center" vertical="center" wrapText="1"/>
    </xf>
    <xf numFmtId="178" fontId="0" fillId="3" borderId="7" xfId="0" applyNumberForma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178" fontId="0" fillId="0" borderId="8" xfId="0" applyNumberFormat="1" applyBorder="1" applyAlignment="1">
      <alignment horizontal="center" vertical="center" wrapText="1"/>
    </xf>
    <xf numFmtId="178" fontId="0" fillId="3" borderId="5" xfId="0" applyNumberFormat="1" applyFill="1" applyBorder="1" applyAlignment="1">
      <alignment horizontal="center" vertical="center" wrapText="1"/>
    </xf>
    <xf numFmtId="178" fontId="4" fillId="3" borderId="0" xfId="0" applyNumberFormat="1" applyFont="1" applyFill="1" applyAlignment="1">
      <alignment horizontal="center" vertical="center" wrapText="1"/>
    </xf>
    <xf numFmtId="178" fontId="3" fillId="3" borderId="0" xfId="0" applyNumberFormat="1" applyFont="1" applyFill="1" applyAlignment="1">
      <alignment horizontal="center" vertical="center" wrapText="1"/>
    </xf>
    <xf numFmtId="178" fontId="3" fillId="3" borderId="7" xfId="0" applyNumberFormat="1" applyFont="1" applyFill="1" applyBorder="1" applyAlignment="1">
      <alignment horizontal="center" vertical="center" wrapText="1"/>
    </xf>
    <xf numFmtId="178" fontId="0" fillId="3" borderId="8" xfId="0" applyNumberFormat="1" applyFill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78" fontId="0" fillId="0" borderId="0" xfId="0" applyNumberForma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wrapText="1"/>
    </xf>
    <xf numFmtId="178" fontId="0" fillId="3" borderId="0" xfId="0" applyNumberFormat="1" applyFill="1" applyBorder="1" applyAlignment="1">
      <alignment horizontal="center" vertical="center" wrapText="1"/>
    </xf>
    <xf numFmtId="178" fontId="4" fillId="3" borderId="7" xfId="0" applyNumberFormat="1" applyFont="1" applyFill="1" applyBorder="1" applyAlignment="1">
      <alignment horizontal="center" vertical="center" wrapText="1"/>
    </xf>
    <xf numFmtId="178" fontId="4" fillId="3" borderId="0" xfId="0" applyNumberFormat="1" applyFont="1" applyFill="1" applyAlignment="1">
      <alignment horizontal="center" vertical="center" wrapText="1"/>
    </xf>
    <xf numFmtId="178" fontId="0" fillId="0" borderId="0" xfId="0" applyNumberForma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</a:t>
            </a:r>
            <a:endParaRPr sz="1800"/>
          </a:p>
        </c:rich>
      </c:tx>
      <c:layout>
        <c:manualLayout>
          <c:xMode val="edge"/>
          <c:yMode val="edge"/>
          <c:x val="0.209292010753586"/>
          <c:y val="0.037290686712262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All!$C$9</c:f>
              <c:strCache>
                <c:ptCount val="1"/>
                <c:pt idx="0">
                  <c:v>1500 ft - 30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All!$J$11:$J$20</c:f>
              <c:numCache>
                <c:formatCode>0.0_ </c:formatCode>
                <c:ptCount val="10"/>
                <c:pt idx="0">
                  <c:v>2.09757</c:v>
                </c:pt>
                <c:pt idx="1">
                  <c:v>4.726356</c:v>
                </c:pt>
                <c:pt idx="2">
                  <c:v>7.354342</c:v>
                </c:pt>
                <c:pt idx="3">
                  <c:v>9.980457</c:v>
                </c:pt>
                <c:pt idx="4">
                  <c:v>12.604697</c:v>
                </c:pt>
                <c:pt idx="5">
                  <c:v>15.227063</c:v>
                </c:pt>
                <c:pt idx="6">
                  <c:v>17.847555</c:v>
                </c:pt>
                <c:pt idx="7">
                  <c:v>20.466174</c:v>
                </c:pt>
                <c:pt idx="8">
                  <c:v>23.082918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All!$K$9</c:f>
              <c:strCache>
                <c:ptCount val="1"/>
                <c:pt idx="0">
                  <c:v>1500 ft - 45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All!$R$11:$R$20</c:f>
              <c:numCache>
                <c:formatCode>0.0_ </c:formatCode>
                <c:ptCount val="10"/>
                <c:pt idx="0">
                  <c:v>1.618436</c:v>
                </c:pt>
                <c:pt idx="1">
                  <c:v>4.110808</c:v>
                </c:pt>
                <c:pt idx="2">
                  <c:v>6.601864</c:v>
                </c:pt>
                <c:pt idx="3">
                  <c:v>9.089841</c:v>
                </c:pt>
                <c:pt idx="4">
                  <c:v>11.574734</c:v>
                </c:pt>
                <c:pt idx="5">
                  <c:v>14.056544</c:v>
                </c:pt>
                <c:pt idx="6">
                  <c:v>16.535272</c:v>
                </c:pt>
                <c:pt idx="7">
                  <c:v>19.010916</c:v>
                </c:pt>
                <c:pt idx="8">
                  <c:v>21.483477</c:v>
                </c:pt>
                <c:pt idx="9">
                  <c:v>23.952955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All!$S$9</c:f>
              <c:strCache>
                <c:ptCount val="1"/>
                <c:pt idx="0">
                  <c:v>1500 ft - 60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All!$Z$11:$Z$20</c:f>
              <c:numCache>
                <c:formatCode>0.0_ </c:formatCode>
                <c:ptCount val="10"/>
                <c:pt idx="0">
                  <c:v>1.139302</c:v>
                </c:pt>
                <c:pt idx="1">
                  <c:v>3.49526</c:v>
                </c:pt>
                <c:pt idx="2">
                  <c:v>5.849386</c:v>
                </c:pt>
                <c:pt idx="3">
                  <c:v>8.199224</c:v>
                </c:pt>
                <c:pt idx="4">
                  <c:v>10.544771</c:v>
                </c:pt>
                <c:pt idx="5">
                  <c:v>12.886025</c:v>
                </c:pt>
                <c:pt idx="6">
                  <c:v>15.222988</c:v>
                </c:pt>
                <c:pt idx="7">
                  <c:v>17.555658</c:v>
                </c:pt>
                <c:pt idx="8">
                  <c:v>19.884036</c:v>
                </c:pt>
                <c:pt idx="9">
                  <c:v>22.208122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All!$C$21</c:f>
              <c:strCache>
                <c:ptCount val="1"/>
                <c:pt idx="0">
                  <c:v>3000 ft - 30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All!$J$22:$J$31</c:f>
              <c:numCache>
                <c:formatCode>0.0_ </c:formatCode>
                <c:ptCount val="10"/>
                <c:pt idx="0">
                  <c:v>2.316205</c:v>
                </c:pt>
                <c:pt idx="1">
                  <c:v>5.053245</c:v>
                </c:pt>
                <c:pt idx="2">
                  <c:v>7.789644</c:v>
                </c:pt>
                <c:pt idx="3">
                  <c:v>10.524533</c:v>
                </c:pt>
                <c:pt idx="4">
                  <c:v>13.257912</c:v>
                </c:pt>
                <c:pt idx="5">
                  <c:v>15.98978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All!$K$21</c:f>
              <c:strCache>
                <c:ptCount val="1"/>
                <c:pt idx="0">
                  <c:v>3000 ft - 45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All!$R$22:$R$31</c:f>
              <c:numCache>
                <c:formatCode>0.0_ </c:formatCode>
                <c:ptCount val="10"/>
                <c:pt idx="0">
                  <c:v>1.815628</c:v>
                </c:pt>
                <c:pt idx="1">
                  <c:v>4.410248</c:v>
                </c:pt>
                <c:pt idx="2">
                  <c:v>7.003682</c:v>
                </c:pt>
                <c:pt idx="3">
                  <c:v>9.594322</c:v>
                </c:pt>
                <c:pt idx="4">
                  <c:v>12.182165</c:v>
                </c:pt>
                <c:pt idx="5">
                  <c:v>14.767211</c:v>
                </c:pt>
                <c:pt idx="6">
                  <c:v>17.34946</c:v>
                </c:pt>
                <c:pt idx="7">
                  <c:v>19.928912</c:v>
                </c:pt>
                <c:pt idx="8">
                  <c:v>22.505567</c:v>
                </c:pt>
                <c:pt idx="9">
                  <c:v>25.079425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All!$S$21</c:f>
              <c:strCache>
                <c:ptCount val="1"/>
                <c:pt idx="0">
                  <c:v>3000 ft - 60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All!$Z$22:$Z$31</c:f>
              <c:numCache>
                <c:formatCode>0.0_ </c:formatCode>
                <c:ptCount val="10"/>
                <c:pt idx="0">
                  <c:v>1.31505</c:v>
                </c:pt>
                <c:pt idx="1">
                  <c:v>3.767251</c:v>
                </c:pt>
                <c:pt idx="2">
                  <c:v>6.21772</c:v>
                </c:pt>
                <c:pt idx="3">
                  <c:v>8.66411</c:v>
                </c:pt>
                <c:pt idx="4">
                  <c:v>11.106417</c:v>
                </c:pt>
                <c:pt idx="5">
                  <c:v>13.544642</c:v>
                </c:pt>
                <c:pt idx="6">
                  <c:v>15.978783</c:v>
                </c:pt>
                <c:pt idx="7">
                  <c:v>18.408841</c:v>
                </c:pt>
                <c:pt idx="8">
                  <c:v>20.834817</c:v>
                </c:pt>
                <c:pt idx="9">
                  <c:v>23.25671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4"/>
              <c:y val="0.3281654889640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e2d66c-3464-4a9a-85cc-da96729290f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</a:t>
            </a:r>
            <a:r>
              <a:rPr lang="vi-VN" altLang="en-US" sz="1800"/>
              <a:t> </a:t>
            </a:r>
            <a:r>
              <a:rPr sz="1800"/>
              <a:t>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</a:t>
            </a:r>
            <a:endParaRPr sz="1800"/>
          </a:p>
        </c:rich>
      </c:tx>
      <c:layout>
        <c:manualLayout>
          <c:xMode val="edge"/>
          <c:yMode val="edge"/>
          <c:x val="0.199805935459152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All!$C$9</c:f>
              <c:strCache>
                <c:ptCount val="1"/>
                <c:pt idx="0">
                  <c:v>1500 ft - 30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All!$J$38:$J$47</c:f>
              <c:numCache>
                <c:formatCode>0.0_ </c:formatCode>
                <c:ptCount val="10"/>
                <c:pt idx="0">
                  <c:v>2.897603</c:v>
                </c:pt>
                <c:pt idx="1">
                  <c:v>6.97804</c:v>
                </c:pt>
                <c:pt idx="2">
                  <c:v>11.061401</c:v>
                </c:pt>
                <c:pt idx="3">
                  <c:v>15.139446</c:v>
                </c:pt>
                <c:pt idx="4">
                  <c:v>19.21212</c:v>
                </c:pt>
                <c:pt idx="5">
                  <c:v>23.265249</c:v>
                </c:pt>
                <c:pt idx="6">
                  <c:v>23.265249</c:v>
                </c:pt>
                <c:pt idx="7">
                  <c:v>23.265249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All!$K$9</c:f>
              <c:strCache>
                <c:ptCount val="1"/>
                <c:pt idx="0">
                  <c:v>1500 ft - 45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All!$R$38:$R$47</c:f>
              <c:numCache>
                <c:formatCode>0.0_ </c:formatCode>
                <c:ptCount val="10"/>
                <c:pt idx="0">
                  <c:v>1.854607</c:v>
                </c:pt>
                <c:pt idx="1">
                  <c:v>5.655166</c:v>
                </c:pt>
                <c:pt idx="2">
                  <c:v>9.460536</c:v>
                </c:pt>
                <c:pt idx="3">
                  <c:v>13.257161</c:v>
                </c:pt>
                <c:pt idx="4">
                  <c:v>17.044949</c:v>
                </c:pt>
                <c:pt idx="5">
                  <c:v>20.823898</c:v>
                </c:pt>
                <c:pt idx="6">
                  <c:v>24.594011</c:v>
                </c:pt>
                <c:pt idx="7">
                  <c:v>28.355285</c:v>
                </c:pt>
                <c:pt idx="8">
                  <c:v>32.107723</c:v>
                </c:pt>
                <c:pt idx="9">
                  <c:v>35.851325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All!$S$9</c:f>
              <c:strCache>
                <c:ptCount val="1"/>
                <c:pt idx="0">
                  <c:v>1500 ft - 60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All!$Z$38:$Z$47</c:f>
              <c:numCache>
                <c:formatCode>0.0_ </c:formatCode>
                <c:ptCount val="10"/>
                <c:pt idx="0">
                  <c:v>0.811611</c:v>
                </c:pt>
                <c:pt idx="1">
                  <c:v>4.332292</c:v>
                </c:pt>
                <c:pt idx="2">
                  <c:v>7.859672</c:v>
                </c:pt>
                <c:pt idx="3">
                  <c:v>11.374876</c:v>
                </c:pt>
                <c:pt idx="4">
                  <c:v>14.877778</c:v>
                </c:pt>
                <c:pt idx="5">
                  <c:v>18.368376</c:v>
                </c:pt>
                <c:pt idx="6">
                  <c:v>21.84667</c:v>
                </c:pt>
                <c:pt idx="7">
                  <c:v>25.312662</c:v>
                </c:pt>
                <c:pt idx="8">
                  <c:v>28.766351</c:v>
                </c:pt>
                <c:pt idx="9">
                  <c:v>32.207739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All!$C$21</c:f>
              <c:strCache>
                <c:ptCount val="1"/>
                <c:pt idx="0">
                  <c:v>3000 ft - 30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All!$J$49:$J$58</c:f>
              <c:numCache>
                <c:formatCode>0.0_ </c:formatCode>
                <c:ptCount val="10"/>
                <c:pt idx="0">
                  <c:v>3.265799</c:v>
                </c:pt>
                <c:pt idx="1">
                  <c:v>7.462603</c:v>
                </c:pt>
                <c:pt idx="2">
                  <c:v>11.661813</c:v>
                </c:pt>
                <c:pt idx="3">
                  <c:v>15.856798</c:v>
                </c:pt>
                <c:pt idx="4">
                  <c:v>17.63656</c:v>
                </c:pt>
                <c:pt idx="5">
                  <c:v>17.63656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All!$K$21</c:f>
              <c:strCache>
                <c:ptCount val="1"/>
                <c:pt idx="0">
                  <c:v>3000 ft - 45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All!$R$49:$R$58</c:f>
              <c:numCache>
                <c:formatCode>0.0_ </c:formatCode>
                <c:ptCount val="10"/>
                <c:pt idx="0">
                  <c:v>2.183608</c:v>
                </c:pt>
                <c:pt idx="1">
                  <c:v>6.090565</c:v>
                </c:pt>
                <c:pt idx="2">
                  <c:v>10.001976</c:v>
                </c:pt>
                <c:pt idx="3">
                  <c:v>13.905566</c:v>
                </c:pt>
                <c:pt idx="4">
                  <c:v>17.801252</c:v>
                </c:pt>
                <c:pt idx="5">
                  <c:v>21.689032</c:v>
                </c:pt>
                <c:pt idx="6">
                  <c:v>25.568908</c:v>
                </c:pt>
                <c:pt idx="7">
                  <c:v>29.440878</c:v>
                </c:pt>
                <c:pt idx="8">
                  <c:v>32.646397</c:v>
                </c:pt>
                <c:pt idx="9">
                  <c:v>32.646397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All!$S$21</c:f>
              <c:strCache>
                <c:ptCount val="1"/>
                <c:pt idx="0">
                  <c:v>3000 ft - 60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All!$Z$49:$Z$58</c:f>
              <c:numCache>
                <c:formatCode>0.0_ </c:formatCode>
                <c:ptCount val="10"/>
                <c:pt idx="0">
                  <c:v>1.101417</c:v>
                </c:pt>
                <c:pt idx="1">
                  <c:v>4.718527</c:v>
                </c:pt>
                <c:pt idx="2">
                  <c:v>8.342138</c:v>
                </c:pt>
                <c:pt idx="3">
                  <c:v>11.954335</c:v>
                </c:pt>
                <c:pt idx="4">
                  <c:v>15.554991</c:v>
                </c:pt>
                <c:pt idx="5">
                  <c:v>19.144108</c:v>
                </c:pt>
                <c:pt idx="6">
                  <c:v>22.721684</c:v>
                </c:pt>
                <c:pt idx="7">
                  <c:v>26.287722</c:v>
                </c:pt>
                <c:pt idx="8">
                  <c:v>29.84222</c:v>
                </c:pt>
                <c:pt idx="9">
                  <c:v>33.38518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110395268871397"/>
              <c:y val="0.32727228065074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</a:t>
            </a:r>
            <a:endParaRPr sz="1800"/>
          </a:p>
        </c:rich>
      </c:tx>
      <c:layout>
        <c:manualLayout>
          <c:xMode val="edge"/>
          <c:yMode val="edge"/>
          <c:x val="0.213383229051962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All!$C$9</c:f>
              <c:strCache>
                <c:ptCount val="1"/>
                <c:pt idx="0">
                  <c:v>1500 ft - 30 mi mission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All!$J$65:$J$74</c:f>
              <c:numCache>
                <c:formatCode>0.0_ </c:formatCode>
                <c:ptCount val="10"/>
                <c:pt idx="0">
                  <c:v>1.653615</c:v>
                </c:pt>
                <c:pt idx="1">
                  <c:v>3.963421</c:v>
                </c:pt>
                <c:pt idx="2">
                  <c:v>6.274947</c:v>
                </c:pt>
                <c:pt idx="3">
                  <c:v>8.584768</c:v>
                </c:pt>
                <c:pt idx="4">
                  <c:v>10.892865</c:v>
                </c:pt>
                <c:pt idx="5">
                  <c:v>13.199239</c:v>
                </c:pt>
                <c:pt idx="6">
                  <c:v>15.50389</c:v>
                </c:pt>
                <c:pt idx="7">
                  <c:v>17.806818</c:v>
                </c:pt>
                <c:pt idx="8">
                  <c:v>20.108023</c:v>
                </c:pt>
                <c:pt idx="9">
                  <c:v>22.407506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All!$K$9</c:f>
              <c:strCache>
                <c:ptCount val="1"/>
                <c:pt idx="0">
                  <c:v>1500 ft - 45 mi mission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All!$R$65:$R$74</c:f>
              <c:numCache>
                <c:formatCode>0.0_ </c:formatCode>
                <c:ptCount val="10"/>
                <c:pt idx="0">
                  <c:v>1.080539</c:v>
                </c:pt>
                <c:pt idx="1">
                  <c:v>3.240618</c:v>
                </c:pt>
                <c:pt idx="2">
                  <c:v>5.403526</c:v>
                </c:pt>
                <c:pt idx="3">
                  <c:v>7.563628</c:v>
                </c:pt>
                <c:pt idx="4">
                  <c:v>9.720896</c:v>
                </c:pt>
                <c:pt idx="5">
                  <c:v>11.875328</c:v>
                </c:pt>
                <c:pt idx="6">
                  <c:v>14.026927</c:v>
                </c:pt>
                <c:pt idx="7">
                  <c:v>16.17569</c:v>
                </c:pt>
                <c:pt idx="8">
                  <c:v>18.321619</c:v>
                </c:pt>
                <c:pt idx="9">
                  <c:v>20.464713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All!$S$9</c:f>
              <c:strCache>
                <c:ptCount val="1"/>
                <c:pt idx="0">
                  <c:v>1500 ft - 60 mi 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All!$Z$65:$Z$74</c:f>
              <c:numCache>
                <c:formatCode>0.0_ </c:formatCode>
                <c:ptCount val="10"/>
                <c:pt idx="0">
                  <c:v>0.507463</c:v>
                </c:pt>
                <c:pt idx="1">
                  <c:v>2.517815</c:v>
                </c:pt>
                <c:pt idx="2">
                  <c:v>4.532105</c:v>
                </c:pt>
                <c:pt idx="3">
                  <c:v>6.542489</c:v>
                </c:pt>
                <c:pt idx="4">
                  <c:v>8.548927</c:v>
                </c:pt>
                <c:pt idx="5">
                  <c:v>10.551418</c:v>
                </c:pt>
                <c:pt idx="6">
                  <c:v>12.549963</c:v>
                </c:pt>
                <c:pt idx="7">
                  <c:v>14.544562</c:v>
                </c:pt>
                <c:pt idx="8">
                  <c:v>16.535214</c:v>
                </c:pt>
                <c:pt idx="9">
                  <c:v>18.52192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All!$C$21</c:f>
              <c:strCache>
                <c:ptCount val="1"/>
                <c:pt idx="0">
                  <c:v>3000 ft - 30 mi mission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All!$J$76:$J$85</c:f>
              <c:numCache>
                <c:formatCode>0.0_ </c:formatCode>
                <c:ptCount val="10"/>
                <c:pt idx="0">
                  <c:v>1.897299</c:v>
                </c:pt>
                <c:pt idx="1">
                  <c:v>4.311738</c:v>
                </c:pt>
                <c:pt idx="2">
                  <c:v>6.727562</c:v>
                </c:pt>
                <c:pt idx="3">
                  <c:v>9.142012</c:v>
                </c:pt>
                <c:pt idx="4">
                  <c:v>11.555072</c:v>
                </c:pt>
                <c:pt idx="5">
                  <c:v>13.966743</c:v>
                </c:pt>
                <c:pt idx="6">
                  <c:v>16.377024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All!$K$21</c:f>
              <c:strCache>
                <c:ptCount val="1"/>
                <c:pt idx="0">
                  <c:v>3000 ft - 45 mi mission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All!$R$76:$R$85</c:f>
              <c:numCache>
                <c:formatCode>0.0_ </c:formatCode>
                <c:ptCount val="10"/>
                <c:pt idx="0">
                  <c:v>1.301969</c:v>
                </c:pt>
                <c:pt idx="1">
                  <c:v>3.561198</c:v>
                </c:pt>
                <c:pt idx="2">
                  <c:v>5.822991</c:v>
                </c:pt>
                <c:pt idx="3">
                  <c:v>8.082239</c:v>
                </c:pt>
                <c:pt idx="4">
                  <c:v>10.338916</c:v>
                </c:pt>
                <c:pt idx="5">
                  <c:v>12.59302</c:v>
                </c:pt>
                <c:pt idx="6">
                  <c:v>14.844553</c:v>
                </c:pt>
                <c:pt idx="7">
                  <c:v>17.093514</c:v>
                </c:pt>
                <c:pt idx="8">
                  <c:v>19.339904</c:v>
                </c:pt>
                <c:pt idx="9">
                  <c:v>21.583721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All!$S$21</c:f>
              <c:strCache>
                <c:ptCount val="1"/>
                <c:pt idx="0">
                  <c:v>3000 ft - 60 mi mission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All!$Z$76:$Z$85</c:f>
              <c:numCache>
                <c:formatCode>0.0_ </c:formatCode>
                <c:ptCount val="10"/>
                <c:pt idx="0">
                  <c:v>0.70664</c:v>
                </c:pt>
                <c:pt idx="1">
                  <c:v>2.810659</c:v>
                </c:pt>
                <c:pt idx="2">
                  <c:v>4.91842</c:v>
                </c:pt>
                <c:pt idx="3">
                  <c:v>7.022467</c:v>
                </c:pt>
                <c:pt idx="4">
                  <c:v>9.122759</c:v>
                </c:pt>
                <c:pt idx="5">
                  <c:v>11.219297</c:v>
                </c:pt>
                <c:pt idx="6">
                  <c:v>13.312081</c:v>
                </c:pt>
                <c:pt idx="7">
                  <c:v>15.401112</c:v>
                </c:pt>
                <c:pt idx="8">
                  <c:v>17.486388</c:v>
                </c:pt>
                <c:pt idx="9">
                  <c:v>19.56791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4"/>
              <c:y val="0.3249005687059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- 30 miles</a:t>
            </a:r>
            <a:endParaRPr sz="1800"/>
          </a:p>
        </c:rich>
      </c:tx>
      <c:layout>
        <c:manualLayout>
          <c:xMode val="edge"/>
          <c:yMode val="edge"/>
          <c:x val="0.234616889250484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All!$J$11:$J$20</c:f>
              <c:numCache>
                <c:formatCode>0.0_ </c:formatCode>
                <c:ptCount val="10"/>
                <c:pt idx="0">
                  <c:v>2.09757</c:v>
                </c:pt>
                <c:pt idx="1">
                  <c:v>4.726356</c:v>
                </c:pt>
                <c:pt idx="2">
                  <c:v>7.354342</c:v>
                </c:pt>
                <c:pt idx="3">
                  <c:v>9.980457</c:v>
                </c:pt>
                <c:pt idx="4">
                  <c:v>12.604697</c:v>
                </c:pt>
                <c:pt idx="5">
                  <c:v>15.227063</c:v>
                </c:pt>
                <c:pt idx="6">
                  <c:v>17.847555</c:v>
                </c:pt>
                <c:pt idx="7">
                  <c:v>20.466174</c:v>
                </c:pt>
                <c:pt idx="8">
                  <c:v>23.082918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All!$A$34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All!$J$38:$J$47</c:f>
              <c:numCache>
                <c:formatCode>0.0_ </c:formatCode>
                <c:ptCount val="10"/>
                <c:pt idx="0">
                  <c:v>2.897603</c:v>
                </c:pt>
                <c:pt idx="1">
                  <c:v>6.97804</c:v>
                </c:pt>
                <c:pt idx="2">
                  <c:v>11.061401</c:v>
                </c:pt>
                <c:pt idx="3">
                  <c:v>15.139446</c:v>
                </c:pt>
                <c:pt idx="4">
                  <c:v>19.21212</c:v>
                </c:pt>
                <c:pt idx="5">
                  <c:v>23.265249</c:v>
                </c:pt>
                <c:pt idx="6">
                  <c:v>23.265249</c:v>
                </c:pt>
                <c:pt idx="7">
                  <c:v>23.265249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All!$A$61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All!$J$65:$J$74</c:f>
              <c:numCache>
                <c:formatCode>0.0_ </c:formatCode>
                <c:ptCount val="10"/>
                <c:pt idx="0">
                  <c:v>1.653615</c:v>
                </c:pt>
                <c:pt idx="1">
                  <c:v>3.963421</c:v>
                </c:pt>
                <c:pt idx="2">
                  <c:v>6.274947</c:v>
                </c:pt>
                <c:pt idx="3">
                  <c:v>8.584768</c:v>
                </c:pt>
                <c:pt idx="4">
                  <c:v>10.892865</c:v>
                </c:pt>
                <c:pt idx="5">
                  <c:v>13.199239</c:v>
                </c:pt>
                <c:pt idx="6">
                  <c:v>15.50389</c:v>
                </c:pt>
                <c:pt idx="7">
                  <c:v>17.806818</c:v>
                </c:pt>
                <c:pt idx="8">
                  <c:v>20.108023</c:v>
                </c:pt>
                <c:pt idx="9">
                  <c:v>22.407506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327704078546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- 30 miles</a:t>
            </a:r>
            <a:endParaRPr sz="1800"/>
          </a:p>
        </c:rich>
      </c:tx>
      <c:layout>
        <c:manualLayout>
          <c:xMode val="edge"/>
          <c:yMode val="edge"/>
          <c:x val="0.243007870546923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All!$A$7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All!$J$22:$J$31</c:f>
              <c:numCache>
                <c:formatCode>0.0_ </c:formatCode>
                <c:ptCount val="10"/>
                <c:pt idx="0">
                  <c:v>2.316205</c:v>
                </c:pt>
                <c:pt idx="1">
                  <c:v>5.053245</c:v>
                </c:pt>
                <c:pt idx="2">
                  <c:v>7.789644</c:v>
                </c:pt>
                <c:pt idx="3">
                  <c:v>10.524533</c:v>
                </c:pt>
                <c:pt idx="4">
                  <c:v>13.257912</c:v>
                </c:pt>
                <c:pt idx="5">
                  <c:v>15.98978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All!$A$34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All!$J$49:$J$58</c:f>
              <c:numCache>
                <c:formatCode>0.0_ </c:formatCode>
                <c:ptCount val="10"/>
                <c:pt idx="0">
                  <c:v>3.265799</c:v>
                </c:pt>
                <c:pt idx="1">
                  <c:v>7.462603</c:v>
                </c:pt>
                <c:pt idx="2">
                  <c:v>11.661813</c:v>
                </c:pt>
                <c:pt idx="3">
                  <c:v>15.856798</c:v>
                </c:pt>
                <c:pt idx="4">
                  <c:v>17.63656</c:v>
                </c:pt>
                <c:pt idx="5">
                  <c:v>17.63656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All!$A$61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All!$J$76:$J$85</c:f>
              <c:numCache>
                <c:formatCode>0.0_ </c:formatCode>
                <c:ptCount val="10"/>
                <c:pt idx="0">
                  <c:v>1.897299</c:v>
                </c:pt>
                <c:pt idx="1">
                  <c:v>4.311738</c:v>
                </c:pt>
                <c:pt idx="2">
                  <c:v>6.727562</c:v>
                </c:pt>
                <c:pt idx="3">
                  <c:v>9.142012</c:v>
                </c:pt>
                <c:pt idx="4">
                  <c:v>11.555072</c:v>
                </c:pt>
                <c:pt idx="5">
                  <c:v>13.966743</c:v>
                </c:pt>
                <c:pt idx="6">
                  <c:v>16.377024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3277040785465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- 45 miles</a:t>
            </a:r>
            <a:endParaRPr sz="1800"/>
          </a:p>
        </c:rich>
      </c:tx>
      <c:layout>
        <c:manualLayout>
          <c:xMode val="edge"/>
          <c:yMode val="edge"/>
          <c:x val="0.204347610602774"/>
          <c:y val="0.02984022211894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All!$R$11:$R$20</c:f>
              <c:numCache>
                <c:formatCode>0.0_ </c:formatCode>
                <c:ptCount val="10"/>
                <c:pt idx="0">
                  <c:v>1.618436</c:v>
                </c:pt>
                <c:pt idx="1">
                  <c:v>4.110808</c:v>
                </c:pt>
                <c:pt idx="2">
                  <c:v>6.601864</c:v>
                </c:pt>
                <c:pt idx="3">
                  <c:v>9.089841</c:v>
                </c:pt>
                <c:pt idx="4">
                  <c:v>11.574734</c:v>
                </c:pt>
                <c:pt idx="5">
                  <c:v>14.056544</c:v>
                </c:pt>
                <c:pt idx="6">
                  <c:v>16.535272</c:v>
                </c:pt>
                <c:pt idx="7">
                  <c:v>19.010916</c:v>
                </c:pt>
                <c:pt idx="8">
                  <c:v>21.483477</c:v>
                </c:pt>
                <c:pt idx="9">
                  <c:v>23.952955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All!$A$34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All!$R$38:$R$47</c:f>
              <c:numCache>
                <c:formatCode>0.0_ </c:formatCode>
                <c:ptCount val="10"/>
                <c:pt idx="0">
                  <c:v>1.854607</c:v>
                </c:pt>
                <c:pt idx="1">
                  <c:v>5.655166</c:v>
                </c:pt>
                <c:pt idx="2">
                  <c:v>9.460536</c:v>
                </c:pt>
                <c:pt idx="3">
                  <c:v>13.257161</c:v>
                </c:pt>
                <c:pt idx="4">
                  <c:v>17.044949</c:v>
                </c:pt>
                <c:pt idx="5">
                  <c:v>20.823898</c:v>
                </c:pt>
                <c:pt idx="6">
                  <c:v>24.594011</c:v>
                </c:pt>
                <c:pt idx="7">
                  <c:v>28.355285</c:v>
                </c:pt>
                <c:pt idx="8">
                  <c:v>32.107723</c:v>
                </c:pt>
                <c:pt idx="9">
                  <c:v>35.851325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All!$A$61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All!$R$65:$R$74</c:f>
              <c:numCache>
                <c:formatCode>0.0_ </c:formatCode>
                <c:ptCount val="10"/>
                <c:pt idx="0">
                  <c:v>1.080539</c:v>
                </c:pt>
                <c:pt idx="1">
                  <c:v>3.240618</c:v>
                </c:pt>
                <c:pt idx="2">
                  <c:v>5.403526</c:v>
                </c:pt>
                <c:pt idx="3">
                  <c:v>7.563628</c:v>
                </c:pt>
                <c:pt idx="4">
                  <c:v>9.720896</c:v>
                </c:pt>
                <c:pt idx="5">
                  <c:v>11.875328</c:v>
                </c:pt>
                <c:pt idx="6">
                  <c:v>14.026927</c:v>
                </c:pt>
                <c:pt idx="7">
                  <c:v>16.17569</c:v>
                </c:pt>
                <c:pt idx="8">
                  <c:v>18.321619</c:v>
                </c:pt>
                <c:pt idx="9">
                  <c:v>20.464713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3439907988049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- 45 miles</a:t>
            </a:r>
            <a:endParaRPr sz="1800"/>
          </a:p>
        </c:rich>
      </c:tx>
      <c:layout>
        <c:manualLayout>
          <c:xMode val="edge"/>
          <c:yMode val="edge"/>
          <c:x val="0.216506409420108"/>
          <c:y val="0.03810543424948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All!$R$22:$R$31</c:f>
              <c:numCache>
                <c:formatCode>0.0_ </c:formatCode>
                <c:ptCount val="10"/>
                <c:pt idx="0">
                  <c:v>1.815628</c:v>
                </c:pt>
                <c:pt idx="1">
                  <c:v>4.410248</c:v>
                </c:pt>
                <c:pt idx="2">
                  <c:v>7.003682</c:v>
                </c:pt>
                <c:pt idx="3">
                  <c:v>9.594322</c:v>
                </c:pt>
                <c:pt idx="4">
                  <c:v>12.182165</c:v>
                </c:pt>
                <c:pt idx="5">
                  <c:v>14.767211</c:v>
                </c:pt>
                <c:pt idx="6">
                  <c:v>17.34946</c:v>
                </c:pt>
                <c:pt idx="7">
                  <c:v>19.928912</c:v>
                </c:pt>
                <c:pt idx="8">
                  <c:v>22.505567</c:v>
                </c:pt>
                <c:pt idx="9">
                  <c:v>25.079425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All!$A$34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All!$R$49:$R$58</c:f>
              <c:numCache>
                <c:formatCode>0.0_ </c:formatCode>
                <c:ptCount val="10"/>
                <c:pt idx="0">
                  <c:v>2.183608</c:v>
                </c:pt>
                <c:pt idx="1">
                  <c:v>6.090565</c:v>
                </c:pt>
                <c:pt idx="2">
                  <c:v>10.001976</c:v>
                </c:pt>
                <c:pt idx="3">
                  <c:v>13.905566</c:v>
                </c:pt>
                <c:pt idx="4">
                  <c:v>17.801252</c:v>
                </c:pt>
                <c:pt idx="5">
                  <c:v>21.689032</c:v>
                </c:pt>
                <c:pt idx="6">
                  <c:v>25.568908</c:v>
                </c:pt>
                <c:pt idx="7">
                  <c:v>29.440878</c:v>
                </c:pt>
                <c:pt idx="8">
                  <c:v>32.646397</c:v>
                </c:pt>
                <c:pt idx="9">
                  <c:v>32.646397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All!$A$61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All!$R$76:$R$85</c:f>
              <c:numCache>
                <c:formatCode>0.0_ </c:formatCode>
                <c:ptCount val="10"/>
                <c:pt idx="0">
                  <c:v>1.301969</c:v>
                </c:pt>
                <c:pt idx="1">
                  <c:v>3.561198</c:v>
                </c:pt>
                <c:pt idx="2">
                  <c:v>5.822991</c:v>
                </c:pt>
                <c:pt idx="3">
                  <c:v>8.082239</c:v>
                </c:pt>
                <c:pt idx="4">
                  <c:v>10.338916</c:v>
                </c:pt>
                <c:pt idx="5">
                  <c:v>12.59302</c:v>
                </c:pt>
                <c:pt idx="6">
                  <c:v>14.844553</c:v>
                </c:pt>
                <c:pt idx="7">
                  <c:v>17.093514</c:v>
                </c:pt>
                <c:pt idx="8">
                  <c:v>19.339904</c:v>
                </c:pt>
                <c:pt idx="9">
                  <c:v>21.583721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3429132125980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- 60 miles</a:t>
            </a:r>
            <a:endParaRPr sz="1800"/>
          </a:p>
        </c:rich>
      </c:tx>
      <c:layout>
        <c:manualLayout>
          <c:xMode val="edge"/>
          <c:yMode val="edge"/>
          <c:x val="0.244417042978386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All!$Z$11:$Z$20</c:f>
              <c:numCache>
                <c:formatCode>0.0_ </c:formatCode>
                <c:ptCount val="10"/>
                <c:pt idx="0">
                  <c:v>1.139302</c:v>
                </c:pt>
                <c:pt idx="1">
                  <c:v>3.49526</c:v>
                </c:pt>
                <c:pt idx="2">
                  <c:v>5.849386</c:v>
                </c:pt>
                <c:pt idx="3">
                  <c:v>8.199224</c:v>
                </c:pt>
                <c:pt idx="4">
                  <c:v>10.544771</c:v>
                </c:pt>
                <c:pt idx="5">
                  <c:v>12.886025</c:v>
                </c:pt>
                <c:pt idx="6">
                  <c:v>15.222988</c:v>
                </c:pt>
                <c:pt idx="7">
                  <c:v>17.555658</c:v>
                </c:pt>
                <c:pt idx="8">
                  <c:v>19.884036</c:v>
                </c:pt>
                <c:pt idx="9">
                  <c:v>22.208122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All!$A$34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All!$Z$38:$Z$47</c:f>
              <c:numCache>
                <c:formatCode>0.0_ </c:formatCode>
                <c:ptCount val="10"/>
                <c:pt idx="0">
                  <c:v>0.811611</c:v>
                </c:pt>
                <c:pt idx="1">
                  <c:v>4.332292</c:v>
                </c:pt>
                <c:pt idx="2">
                  <c:v>7.859672</c:v>
                </c:pt>
                <c:pt idx="3">
                  <c:v>11.374876</c:v>
                </c:pt>
                <c:pt idx="4">
                  <c:v>14.877778</c:v>
                </c:pt>
                <c:pt idx="5">
                  <c:v>18.368376</c:v>
                </c:pt>
                <c:pt idx="6">
                  <c:v>21.84667</c:v>
                </c:pt>
                <c:pt idx="7">
                  <c:v>25.312662</c:v>
                </c:pt>
                <c:pt idx="8">
                  <c:v>28.766351</c:v>
                </c:pt>
                <c:pt idx="9">
                  <c:v>32.207739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All!$A$61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All!$Z$65:$Z$74</c:f>
              <c:numCache>
                <c:formatCode>0.0_ </c:formatCode>
                <c:ptCount val="10"/>
                <c:pt idx="0">
                  <c:v>0.507463</c:v>
                </c:pt>
                <c:pt idx="1">
                  <c:v>2.517815</c:v>
                </c:pt>
                <c:pt idx="2">
                  <c:v>4.532105</c:v>
                </c:pt>
                <c:pt idx="3">
                  <c:v>6.542489</c:v>
                </c:pt>
                <c:pt idx="4">
                  <c:v>8.548927</c:v>
                </c:pt>
                <c:pt idx="5">
                  <c:v>10.551418</c:v>
                </c:pt>
                <c:pt idx="6">
                  <c:v>12.549963</c:v>
                </c:pt>
                <c:pt idx="7">
                  <c:v>14.544562</c:v>
                </c:pt>
                <c:pt idx="8">
                  <c:v>16.535214</c:v>
                </c:pt>
                <c:pt idx="9">
                  <c:v>18.52192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2490056870594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Distance Powered By ABU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- 60 miles</a:t>
            </a:r>
            <a:endParaRPr sz="1800"/>
          </a:p>
        </c:rich>
      </c:tx>
      <c:layout>
        <c:manualLayout>
          <c:xMode val="edge"/>
          <c:yMode val="edge"/>
          <c:x val="0.22476166723312"/>
          <c:y val="0.038097680003264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All!$Z$22:$Z$31</c:f>
              <c:numCache>
                <c:formatCode>0.0_ </c:formatCode>
                <c:ptCount val="10"/>
                <c:pt idx="0">
                  <c:v>1.31505</c:v>
                </c:pt>
                <c:pt idx="1">
                  <c:v>3.767251</c:v>
                </c:pt>
                <c:pt idx="2">
                  <c:v>6.21772</c:v>
                </c:pt>
                <c:pt idx="3">
                  <c:v>8.66411</c:v>
                </c:pt>
                <c:pt idx="4">
                  <c:v>11.106417</c:v>
                </c:pt>
                <c:pt idx="5">
                  <c:v>13.544642</c:v>
                </c:pt>
                <c:pt idx="6">
                  <c:v>15.978783</c:v>
                </c:pt>
                <c:pt idx="7">
                  <c:v>18.408841</c:v>
                </c:pt>
                <c:pt idx="8">
                  <c:v>20.834817</c:v>
                </c:pt>
                <c:pt idx="9">
                  <c:v>23.25671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All!$A$34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All!$Z$49:$Z$58</c:f>
              <c:numCache>
                <c:formatCode>0.0_ </c:formatCode>
                <c:ptCount val="10"/>
                <c:pt idx="0">
                  <c:v>1.101417</c:v>
                </c:pt>
                <c:pt idx="1">
                  <c:v>4.718527</c:v>
                </c:pt>
                <c:pt idx="2">
                  <c:v>8.342138</c:v>
                </c:pt>
                <c:pt idx="3">
                  <c:v>11.954335</c:v>
                </c:pt>
                <c:pt idx="4">
                  <c:v>15.554991</c:v>
                </c:pt>
                <c:pt idx="5">
                  <c:v>19.144108</c:v>
                </c:pt>
                <c:pt idx="6">
                  <c:v>22.721684</c:v>
                </c:pt>
                <c:pt idx="7">
                  <c:v>26.287722</c:v>
                </c:pt>
                <c:pt idx="8">
                  <c:v>29.84222</c:v>
                </c:pt>
                <c:pt idx="9">
                  <c:v>33.38518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All!$A$61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All!$B$11:$B$20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All!$Z$76:$Z$85</c:f>
              <c:numCache>
                <c:formatCode>0.0_ </c:formatCode>
                <c:ptCount val="10"/>
                <c:pt idx="0">
                  <c:v>0.70664</c:v>
                </c:pt>
                <c:pt idx="1">
                  <c:v>2.810659</c:v>
                </c:pt>
                <c:pt idx="2">
                  <c:v>4.91842</c:v>
                </c:pt>
                <c:pt idx="3">
                  <c:v>7.022467</c:v>
                </c:pt>
                <c:pt idx="4">
                  <c:v>9.122759</c:v>
                </c:pt>
                <c:pt idx="5">
                  <c:v>11.219297</c:v>
                </c:pt>
                <c:pt idx="6">
                  <c:v>13.312081</c:v>
                </c:pt>
                <c:pt idx="7">
                  <c:v>15.401112</c:v>
                </c:pt>
                <c:pt idx="8">
                  <c:v>17.486388</c:v>
                </c:pt>
                <c:pt idx="9">
                  <c:v>19.56791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Distance Powered By ABU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6"/>
              <c:y val="0.3225078678511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849630</xdr:colOff>
      <xdr:row>3</xdr:row>
      <xdr:rowOff>385445</xdr:rowOff>
    </xdr:from>
    <xdr:to>
      <xdr:col>41</xdr:col>
      <xdr:colOff>574675</xdr:colOff>
      <xdr:row>30</xdr:row>
      <xdr:rowOff>177165</xdr:rowOff>
    </xdr:to>
    <xdr:graphicFrame>
      <xdr:nvGraphicFramePr>
        <xdr:cNvPr id="4" name="Chart 3"/>
        <xdr:cNvGraphicFramePr/>
      </xdr:nvGraphicFramePr>
      <xdr:xfrm>
        <a:off x="23633430" y="2186305"/>
        <a:ext cx="9813925" cy="612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854710</xdr:colOff>
      <xdr:row>32</xdr:row>
      <xdr:rowOff>146685</xdr:rowOff>
    </xdr:from>
    <xdr:to>
      <xdr:col>41</xdr:col>
      <xdr:colOff>579755</xdr:colOff>
      <xdr:row>59</xdr:row>
      <xdr:rowOff>93345</xdr:rowOff>
    </xdr:to>
    <xdr:graphicFrame>
      <xdr:nvGraphicFramePr>
        <xdr:cNvPr id="6" name="Chart 5"/>
        <xdr:cNvGraphicFramePr/>
      </xdr:nvGraphicFramePr>
      <xdr:xfrm>
        <a:off x="23638510" y="864806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852170</xdr:colOff>
      <xdr:row>61</xdr:row>
      <xdr:rowOff>90805</xdr:rowOff>
    </xdr:from>
    <xdr:to>
      <xdr:col>41</xdr:col>
      <xdr:colOff>577215</xdr:colOff>
      <xdr:row>88</xdr:row>
      <xdr:rowOff>37465</xdr:rowOff>
    </xdr:to>
    <xdr:graphicFrame>
      <xdr:nvGraphicFramePr>
        <xdr:cNvPr id="7" name="Chart 6"/>
        <xdr:cNvGraphicFramePr/>
      </xdr:nvGraphicFramePr>
      <xdr:xfrm>
        <a:off x="23635970" y="1495488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390525</xdr:colOff>
      <xdr:row>3</xdr:row>
      <xdr:rowOff>372110</xdr:rowOff>
    </xdr:from>
    <xdr:to>
      <xdr:col>58</xdr:col>
      <xdr:colOff>328930</xdr:colOff>
      <xdr:row>30</xdr:row>
      <xdr:rowOff>163830</xdr:rowOff>
    </xdr:to>
    <xdr:graphicFrame>
      <xdr:nvGraphicFramePr>
        <xdr:cNvPr id="8" name="Chart 7"/>
        <xdr:cNvGraphicFramePr/>
      </xdr:nvGraphicFramePr>
      <xdr:xfrm>
        <a:off x="33880425" y="2172970"/>
        <a:ext cx="9813925" cy="612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121285</xdr:colOff>
      <xdr:row>3</xdr:row>
      <xdr:rowOff>346710</xdr:rowOff>
    </xdr:from>
    <xdr:to>
      <xdr:col>75</xdr:col>
      <xdr:colOff>59690</xdr:colOff>
      <xdr:row>30</xdr:row>
      <xdr:rowOff>138430</xdr:rowOff>
    </xdr:to>
    <xdr:graphicFrame>
      <xdr:nvGraphicFramePr>
        <xdr:cNvPr id="9" name="Chart 8"/>
        <xdr:cNvGraphicFramePr/>
      </xdr:nvGraphicFramePr>
      <xdr:xfrm>
        <a:off x="44103925" y="2147570"/>
        <a:ext cx="9813925" cy="612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456565</xdr:colOff>
      <xdr:row>33</xdr:row>
      <xdr:rowOff>11430</xdr:rowOff>
    </xdr:from>
    <xdr:to>
      <xdr:col>58</xdr:col>
      <xdr:colOff>394970</xdr:colOff>
      <xdr:row>59</xdr:row>
      <xdr:rowOff>140970</xdr:rowOff>
    </xdr:to>
    <xdr:graphicFrame>
      <xdr:nvGraphicFramePr>
        <xdr:cNvPr id="10" name="Chart 9"/>
        <xdr:cNvGraphicFramePr/>
      </xdr:nvGraphicFramePr>
      <xdr:xfrm>
        <a:off x="33946465" y="869569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59</xdr:col>
      <xdr:colOff>164465</xdr:colOff>
      <xdr:row>33</xdr:row>
      <xdr:rowOff>24130</xdr:rowOff>
    </xdr:from>
    <xdr:to>
      <xdr:col>75</xdr:col>
      <xdr:colOff>102870</xdr:colOff>
      <xdr:row>59</xdr:row>
      <xdr:rowOff>153670</xdr:rowOff>
    </xdr:to>
    <xdr:graphicFrame>
      <xdr:nvGraphicFramePr>
        <xdr:cNvPr id="11" name="Chart 10"/>
        <xdr:cNvGraphicFramePr/>
      </xdr:nvGraphicFramePr>
      <xdr:xfrm>
        <a:off x="44147105" y="870839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469265</xdr:colOff>
      <xdr:row>61</xdr:row>
      <xdr:rowOff>214630</xdr:rowOff>
    </xdr:from>
    <xdr:to>
      <xdr:col>58</xdr:col>
      <xdr:colOff>407670</xdr:colOff>
      <xdr:row>88</xdr:row>
      <xdr:rowOff>161290</xdr:rowOff>
    </xdr:to>
    <xdr:graphicFrame>
      <xdr:nvGraphicFramePr>
        <xdr:cNvPr id="12" name="Chart 11"/>
        <xdr:cNvGraphicFramePr/>
      </xdr:nvGraphicFramePr>
      <xdr:xfrm>
        <a:off x="33959165" y="1507871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59</xdr:col>
      <xdr:colOff>291465</xdr:colOff>
      <xdr:row>61</xdr:row>
      <xdr:rowOff>303530</xdr:rowOff>
    </xdr:from>
    <xdr:to>
      <xdr:col>75</xdr:col>
      <xdr:colOff>229870</xdr:colOff>
      <xdr:row>89</xdr:row>
      <xdr:rowOff>67310</xdr:rowOff>
    </xdr:to>
    <xdr:graphicFrame>
      <xdr:nvGraphicFramePr>
        <xdr:cNvPr id="13" name="Chart 12"/>
        <xdr:cNvGraphicFramePr/>
      </xdr:nvGraphicFramePr>
      <xdr:xfrm>
        <a:off x="44274105" y="1516761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5"/>
  <sheetViews>
    <sheetView tabSelected="1" zoomScale="55" zoomScaleNormal="55" topLeftCell="A2" workbookViewId="0">
      <selection activeCell="N3" sqref="N3"/>
    </sheetView>
  </sheetViews>
  <sheetFormatPr defaultColWidth="9" defaultRowHeight="14.4"/>
  <cols>
    <col min="1" max="5" width="12.7777777777778" style="1" customWidth="1"/>
    <col min="6" max="18" width="12.7777777777778" style="2" customWidth="1"/>
    <col min="19" max="27" width="12.7777777777778" style="1" customWidth="1"/>
    <col min="28" max="28" width="9" style="1"/>
    <col min="29" max="29" width="10.6666666666667" style="1"/>
    <col min="30" max="37" width="9.66666666666667" style="1"/>
    <col min="38" max="39" width="9" style="1"/>
    <col min="40" max="41" width="9.66666666666667" style="1"/>
    <col min="42" max="16384" width="9" style="1"/>
  </cols>
  <sheetData>
    <row r="1" spans="1:5">
      <c r="A1" s="3" t="s">
        <v>0</v>
      </c>
      <c r="E1" s="2"/>
    </row>
    <row r="2" ht="86.4" spans="1:10">
      <c r="A2" s="4"/>
      <c r="B2" s="5" t="s">
        <v>1</v>
      </c>
      <c r="C2" s="5" t="s">
        <v>2</v>
      </c>
      <c r="D2" s="5" t="s">
        <v>3</v>
      </c>
      <c r="E2" s="6" t="s">
        <v>4</v>
      </c>
      <c r="J2" s="33"/>
    </row>
    <row r="3" ht="41" customHeight="1" spans="1:17">
      <c r="A3" s="7" t="s">
        <v>5</v>
      </c>
      <c r="B3" s="2" t="s">
        <v>6</v>
      </c>
      <c r="C3" s="2" t="s">
        <v>7</v>
      </c>
      <c r="D3" s="2" t="s">
        <v>8</v>
      </c>
      <c r="E3" s="8" t="s">
        <v>9</v>
      </c>
      <c r="G3" s="9" t="s">
        <v>10</v>
      </c>
      <c r="H3" s="10" t="s">
        <v>11</v>
      </c>
      <c r="Q3" s="60"/>
    </row>
    <row r="4" ht="41" customHeight="1" spans="1:8">
      <c r="A4" s="11" t="s">
        <v>12</v>
      </c>
      <c r="B4" s="12">
        <v>1</v>
      </c>
      <c r="C4" s="13">
        <v>12</v>
      </c>
      <c r="D4" s="14">
        <v>0.2</v>
      </c>
      <c r="E4" s="15">
        <v>0.05</v>
      </c>
      <c r="G4" s="10"/>
      <c r="H4" s="68" t="s">
        <v>13</v>
      </c>
    </row>
    <row r="5" spans="8:14">
      <c r="H5" s="10" t="s">
        <v>14</v>
      </c>
      <c r="J5" s="1"/>
      <c r="K5" s="1"/>
      <c r="L5" s="1"/>
      <c r="M5" s="1"/>
      <c r="N5" s="1"/>
    </row>
    <row r="6" spans="1:3">
      <c r="A6" s="17"/>
      <c r="B6" s="17"/>
      <c r="C6" s="18"/>
    </row>
    <row r="7" spans="1:2">
      <c r="A7" s="19" t="s">
        <v>15</v>
      </c>
      <c r="B7" s="19"/>
    </row>
    <row r="8" ht="27" customHeight="1" spans="1:26">
      <c r="A8" s="20" t="s">
        <v>16</v>
      </c>
      <c r="B8" s="21" t="s">
        <v>17</v>
      </c>
      <c r="C8" s="22" t="s">
        <v>18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49"/>
    </row>
    <row r="9" ht="27" customHeight="1" spans="1:26">
      <c r="A9" s="24"/>
      <c r="B9" s="25"/>
      <c r="C9" s="22" t="s">
        <v>19</v>
      </c>
      <c r="D9" s="23"/>
      <c r="E9" s="23"/>
      <c r="F9" s="23"/>
      <c r="G9" s="23"/>
      <c r="H9" s="23"/>
      <c r="I9" s="23"/>
      <c r="J9" s="49"/>
      <c r="K9" s="22" t="s">
        <v>20</v>
      </c>
      <c r="L9" s="23"/>
      <c r="M9" s="23"/>
      <c r="N9" s="23"/>
      <c r="O9" s="23"/>
      <c r="P9" s="23"/>
      <c r="Q9" s="23"/>
      <c r="R9" s="49"/>
      <c r="S9" s="61" t="s">
        <v>21</v>
      </c>
      <c r="T9" s="62"/>
      <c r="U9" s="62"/>
      <c r="V9" s="62"/>
      <c r="W9" s="62"/>
      <c r="X9" s="62"/>
      <c r="Y9" s="62"/>
      <c r="Z9" s="21"/>
    </row>
    <row r="10" ht="60" customHeight="1" spans="1:26">
      <c r="A10" s="26"/>
      <c r="B10" s="27" t="s">
        <v>22</v>
      </c>
      <c r="C10" s="28" t="s">
        <v>23</v>
      </c>
      <c r="D10" s="29" t="s">
        <v>24</v>
      </c>
      <c r="E10" s="29" t="s">
        <v>25</v>
      </c>
      <c r="F10" s="29" t="s">
        <v>26</v>
      </c>
      <c r="G10" s="29" t="s">
        <v>27</v>
      </c>
      <c r="H10" s="29" t="s">
        <v>28</v>
      </c>
      <c r="I10" s="29" t="s">
        <v>29</v>
      </c>
      <c r="J10" s="27" t="s">
        <v>30</v>
      </c>
      <c r="K10" s="28" t="s">
        <v>23</v>
      </c>
      <c r="L10" s="29" t="s">
        <v>24</v>
      </c>
      <c r="M10" s="29" t="s">
        <v>25</v>
      </c>
      <c r="N10" s="29" t="s">
        <v>26</v>
      </c>
      <c r="O10" s="29" t="s">
        <v>27</v>
      </c>
      <c r="P10" s="29" t="s">
        <v>28</v>
      </c>
      <c r="Q10" s="29" t="s">
        <v>29</v>
      </c>
      <c r="R10" s="27" t="s">
        <v>30</v>
      </c>
      <c r="S10" s="28" t="s">
        <v>23</v>
      </c>
      <c r="T10" s="29" t="s">
        <v>24</v>
      </c>
      <c r="U10" s="29" t="s">
        <v>25</v>
      </c>
      <c r="V10" s="29" t="s">
        <v>26</v>
      </c>
      <c r="W10" s="29" t="s">
        <v>27</v>
      </c>
      <c r="X10" s="29" t="s">
        <v>28</v>
      </c>
      <c r="Y10" s="29" t="s">
        <v>29</v>
      </c>
      <c r="Z10" s="27" t="s">
        <v>30</v>
      </c>
    </row>
    <row r="11" spans="1:26">
      <c r="A11" s="30" t="s">
        <v>31</v>
      </c>
      <c r="B11" s="31">
        <v>5</v>
      </c>
      <c r="C11" s="32">
        <v>103.642737</v>
      </c>
      <c r="D11" s="33">
        <v>137.614247</v>
      </c>
      <c r="E11" s="33">
        <v>40.956658</v>
      </c>
      <c r="F11" s="33">
        <v>42.264049</v>
      </c>
      <c r="G11" s="33">
        <v>5</v>
      </c>
      <c r="H11" s="33">
        <v>3.692608</v>
      </c>
      <c r="I11" s="33">
        <v>50.308683</v>
      </c>
      <c r="J11" s="50">
        <v>2.09757</v>
      </c>
      <c r="K11" s="32">
        <v>103.642737</v>
      </c>
      <c r="L11" s="33">
        <v>137.614247</v>
      </c>
      <c r="M11" s="33">
        <v>67.380308</v>
      </c>
      <c r="N11" s="33">
        <v>69.531178</v>
      </c>
      <c r="O11" s="33">
        <v>5</v>
      </c>
      <c r="P11" s="33">
        <v>2.84913</v>
      </c>
      <c r="Q11" s="33">
        <v>38.817</v>
      </c>
      <c r="R11" s="50">
        <v>1.618436</v>
      </c>
      <c r="S11" s="32">
        <v>103.642737</v>
      </c>
      <c r="T11" s="63">
        <v>137.614247</v>
      </c>
      <c r="U11" s="33">
        <v>93.803958</v>
      </c>
      <c r="V11" s="63">
        <v>96.798306</v>
      </c>
      <c r="W11" s="63">
        <v>5</v>
      </c>
      <c r="X11" s="63">
        <v>2.005652</v>
      </c>
      <c r="Y11" s="63">
        <v>27.325316</v>
      </c>
      <c r="Z11" s="50">
        <v>1.139302</v>
      </c>
    </row>
    <row r="12" spans="1:26">
      <c r="A12" s="30"/>
      <c r="B12" s="31">
        <v>10</v>
      </c>
      <c r="C12" s="32">
        <v>134.125895</v>
      </c>
      <c r="D12" s="33">
        <v>175.989375</v>
      </c>
      <c r="E12" s="33"/>
      <c r="F12" s="33">
        <v>42.636276</v>
      </c>
      <c r="G12" s="33">
        <v>10</v>
      </c>
      <c r="H12" s="33">
        <v>8.320382</v>
      </c>
      <c r="I12" s="33">
        <v>113.358202</v>
      </c>
      <c r="J12" s="50">
        <v>4.726356</v>
      </c>
      <c r="K12" s="32">
        <v>134.125895</v>
      </c>
      <c r="L12" s="33">
        <v>175.989375</v>
      </c>
      <c r="M12" s="33"/>
      <c r="N12" s="33">
        <v>70.143551</v>
      </c>
      <c r="O12" s="33">
        <v>10</v>
      </c>
      <c r="P12" s="33">
        <v>7.236757</v>
      </c>
      <c r="Q12" s="33">
        <v>98.594728</v>
      </c>
      <c r="R12" s="50">
        <v>4.110808</v>
      </c>
      <c r="S12" s="32">
        <v>134.125895</v>
      </c>
      <c r="T12" s="63">
        <v>175.989375</v>
      </c>
      <c r="U12" s="33"/>
      <c r="V12" s="63">
        <v>97.650825</v>
      </c>
      <c r="W12" s="63">
        <v>10</v>
      </c>
      <c r="X12" s="63">
        <v>6.153133</v>
      </c>
      <c r="Y12" s="63">
        <v>83.831254</v>
      </c>
      <c r="Z12" s="50">
        <v>3.49526</v>
      </c>
    </row>
    <row r="13" spans="1:26">
      <c r="A13" s="30"/>
      <c r="B13" s="31">
        <v>15</v>
      </c>
      <c r="C13" s="32">
        <v>164.609053</v>
      </c>
      <c r="D13" s="33">
        <v>214.168498</v>
      </c>
      <c r="E13" s="33"/>
      <c r="F13" s="33">
        <v>43.009911</v>
      </c>
      <c r="G13" s="33">
        <v>15</v>
      </c>
      <c r="H13" s="33">
        <v>12.946747</v>
      </c>
      <c r="I13" s="33">
        <v>176.388532</v>
      </c>
      <c r="J13" s="50">
        <v>7.354342</v>
      </c>
      <c r="K13" s="32">
        <v>164.609053</v>
      </c>
      <c r="L13" s="33">
        <v>214.168498</v>
      </c>
      <c r="M13" s="33"/>
      <c r="N13" s="33">
        <v>70.75824</v>
      </c>
      <c r="O13" s="33">
        <v>15</v>
      </c>
      <c r="P13" s="33">
        <v>11.622067</v>
      </c>
      <c r="Q13" s="33">
        <v>158.340889</v>
      </c>
      <c r="R13" s="50">
        <v>6.601864</v>
      </c>
      <c r="S13" s="32">
        <v>164.609053</v>
      </c>
      <c r="T13" s="63">
        <v>214.168498</v>
      </c>
      <c r="U13" s="33"/>
      <c r="V13" s="63">
        <v>98.50657</v>
      </c>
      <c r="W13" s="63">
        <v>15</v>
      </c>
      <c r="X13" s="63">
        <v>10.297388</v>
      </c>
      <c r="Y13" s="63">
        <v>140.293246</v>
      </c>
      <c r="Z13" s="50">
        <v>5.849386</v>
      </c>
    </row>
    <row r="14" spans="1:26">
      <c r="A14" s="30"/>
      <c r="B14" s="31">
        <v>20</v>
      </c>
      <c r="C14" s="32">
        <v>195.092212</v>
      </c>
      <c r="D14" s="33">
        <v>252.347049</v>
      </c>
      <c r="E14" s="33"/>
      <c r="F14" s="33">
        <v>43.386841</v>
      </c>
      <c r="G14" s="33">
        <v>20</v>
      </c>
      <c r="H14" s="33">
        <v>17.569816</v>
      </c>
      <c r="I14" s="33">
        <v>239.373966</v>
      </c>
      <c r="J14" s="50">
        <v>9.980457</v>
      </c>
      <c r="K14" s="32">
        <v>195.092212</v>
      </c>
      <c r="L14" s="33">
        <v>252.347049</v>
      </c>
      <c r="M14" s="33"/>
      <c r="N14" s="33">
        <v>71.378352</v>
      </c>
      <c r="O14" s="33">
        <v>20</v>
      </c>
      <c r="P14" s="33">
        <v>16.001956</v>
      </c>
      <c r="Q14" s="33">
        <v>218.013188</v>
      </c>
      <c r="R14" s="50">
        <v>9.089841</v>
      </c>
      <c r="S14" s="32">
        <v>195.092212</v>
      </c>
      <c r="T14" s="63">
        <v>252.347049</v>
      </c>
      <c r="U14" s="33"/>
      <c r="V14" s="63">
        <v>99.369862</v>
      </c>
      <c r="W14" s="63">
        <v>20</v>
      </c>
      <c r="X14" s="63">
        <v>14.434096</v>
      </c>
      <c r="Y14" s="63">
        <v>196.65241</v>
      </c>
      <c r="Z14" s="50">
        <v>8.199224</v>
      </c>
    </row>
    <row r="15" spans="1:26">
      <c r="A15" s="30"/>
      <c r="B15" s="31">
        <v>25</v>
      </c>
      <c r="C15" s="32">
        <v>225.57537</v>
      </c>
      <c r="D15" s="33">
        <v>290.525415</v>
      </c>
      <c r="E15" s="33"/>
      <c r="F15" s="33">
        <v>43.767071</v>
      </c>
      <c r="G15" s="33">
        <v>25</v>
      </c>
      <c r="H15" s="33">
        <v>22.189587</v>
      </c>
      <c r="I15" s="33">
        <v>302.314453</v>
      </c>
      <c r="J15" s="50">
        <v>12.604697</v>
      </c>
      <c r="K15" s="32">
        <v>225.57537</v>
      </c>
      <c r="L15" s="33">
        <v>290.525415</v>
      </c>
      <c r="M15" s="33"/>
      <c r="N15" s="33">
        <v>72.00389</v>
      </c>
      <c r="O15" s="33">
        <v>25</v>
      </c>
      <c r="P15" s="33">
        <v>20.376417</v>
      </c>
      <c r="Q15" s="33">
        <v>277.611542</v>
      </c>
      <c r="R15" s="50">
        <v>11.574734</v>
      </c>
      <c r="S15" s="32">
        <v>225.57537</v>
      </c>
      <c r="T15" s="63">
        <v>290.525415</v>
      </c>
      <c r="U15" s="33"/>
      <c r="V15" s="63">
        <v>100.24071</v>
      </c>
      <c r="W15" s="63">
        <v>25</v>
      </c>
      <c r="X15" s="63">
        <v>18.563248</v>
      </c>
      <c r="Y15" s="63">
        <v>252.908631</v>
      </c>
      <c r="Z15" s="50">
        <v>10.544771</v>
      </c>
    </row>
    <row r="16" spans="1:26">
      <c r="A16" s="30"/>
      <c r="B16" s="31">
        <v>30</v>
      </c>
      <c r="C16" s="32">
        <v>256.058528</v>
      </c>
      <c r="D16" s="33">
        <v>328.703598</v>
      </c>
      <c r="E16" s="33"/>
      <c r="F16" s="33">
        <v>44.150599</v>
      </c>
      <c r="G16" s="33">
        <v>30</v>
      </c>
      <c r="H16" s="33">
        <v>26.806059</v>
      </c>
      <c r="I16" s="33">
        <v>365.209992</v>
      </c>
      <c r="J16" s="50">
        <v>15.227063</v>
      </c>
      <c r="K16" s="32">
        <v>256.058528</v>
      </c>
      <c r="L16" s="33">
        <v>328.703598</v>
      </c>
      <c r="M16" s="33"/>
      <c r="N16" s="33">
        <v>72.634857</v>
      </c>
      <c r="O16" s="33">
        <v>30</v>
      </c>
      <c r="P16" s="33">
        <v>24.745451</v>
      </c>
      <c r="Q16" s="33">
        <v>337.13595</v>
      </c>
      <c r="R16" s="50">
        <v>14.056544</v>
      </c>
      <c r="S16" s="32">
        <v>256.058528</v>
      </c>
      <c r="T16" s="63">
        <v>328.703598</v>
      </c>
      <c r="U16" s="33"/>
      <c r="V16" s="63">
        <v>101.119114</v>
      </c>
      <c r="W16" s="63">
        <v>30</v>
      </c>
      <c r="X16" s="63">
        <v>22.684844</v>
      </c>
      <c r="Y16" s="63">
        <v>309.061908</v>
      </c>
      <c r="Z16" s="50">
        <v>12.886025</v>
      </c>
    </row>
    <row r="17" spans="1:26">
      <c r="A17" s="30"/>
      <c r="B17" s="31">
        <v>35</v>
      </c>
      <c r="C17" s="32">
        <v>286.541686</v>
      </c>
      <c r="D17" s="33">
        <v>366.881602</v>
      </c>
      <c r="E17" s="33"/>
      <c r="F17" s="33">
        <v>44.537427</v>
      </c>
      <c r="G17" s="33">
        <v>35</v>
      </c>
      <c r="H17" s="33">
        <v>31.419231</v>
      </c>
      <c r="I17" s="33">
        <v>428.060585</v>
      </c>
      <c r="J17" s="50">
        <v>17.847555</v>
      </c>
      <c r="K17" s="32">
        <v>286.541686</v>
      </c>
      <c r="L17" s="33">
        <v>366.881602</v>
      </c>
      <c r="M17" s="33"/>
      <c r="N17" s="33">
        <v>73.271251</v>
      </c>
      <c r="O17" s="33">
        <v>35</v>
      </c>
      <c r="P17" s="33">
        <v>29.109057</v>
      </c>
      <c r="Q17" s="33">
        <v>396.586413</v>
      </c>
      <c r="R17" s="50">
        <v>16.535272</v>
      </c>
      <c r="S17" s="32">
        <v>286.541686</v>
      </c>
      <c r="T17" s="63">
        <v>366.881602</v>
      </c>
      <c r="U17" s="33"/>
      <c r="V17" s="63">
        <v>102.005074</v>
      </c>
      <c r="W17" s="63">
        <v>35</v>
      </c>
      <c r="X17" s="63">
        <v>26.798884</v>
      </c>
      <c r="Y17" s="63">
        <v>365.112242</v>
      </c>
      <c r="Z17" s="50">
        <v>15.222988</v>
      </c>
    </row>
    <row r="18" spans="1:26">
      <c r="A18" s="30"/>
      <c r="B18" s="31">
        <v>40</v>
      </c>
      <c r="C18" s="32">
        <v>317.024844</v>
      </c>
      <c r="D18" s="33">
        <v>405.059427</v>
      </c>
      <c r="E18" s="33"/>
      <c r="F18" s="33">
        <v>44.927553</v>
      </c>
      <c r="G18" s="33">
        <v>40</v>
      </c>
      <c r="H18" s="33">
        <v>36.029104</v>
      </c>
      <c r="I18" s="33">
        <v>490.866231</v>
      </c>
      <c r="J18" s="50">
        <v>20.466174</v>
      </c>
      <c r="K18" s="32">
        <v>317.024844</v>
      </c>
      <c r="L18" s="33">
        <v>405.059427</v>
      </c>
      <c r="M18" s="33"/>
      <c r="N18" s="33">
        <v>73.913072</v>
      </c>
      <c r="O18" s="33">
        <v>40</v>
      </c>
      <c r="P18" s="33">
        <v>33.467236</v>
      </c>
      <c r="Q18" s="33">
        <v>455.962933</v>
      </c>
      <c r="R18" s="50">
        <v>19.010916</v>
      </c>
      <c r="S18" s="32">
        <v>317.024844</v>
      </c>
      <c r="T18" s="63">
        <v>405.059427</v>
      </c>
      <c r="U18" s="33"/>
      <c r="V18" s="63">
        <v>102.89859</v>
      </c>
      <c r="W18" s="63">
        <v>40</v>
      </c>
      <c r="X18" s="63">
        <v>30.905368</v>
      </c>
      <c r="Y18" s="63">
        <v>421.059634</v>
      </c>
      <c r="Z18" s="50">
        <v>17.555658</v>
      </c>
    </row>
    <row r="19" spans="1:26">
      <c r="A19" s="30"/>
      <c r="B19" s="31">
        <v>45</v>
      </c>
      <c r="C19" s="32">
        <v>347.508002</v>
      </c>
      <c r="D19" s="33">
        <v>443.237077</v>
      </c>
      <c r="E19" s="33"/>
      <c r="F19" s="33">
        <v>45.320979</v>
      </c>
      <c r="G19" s="33">
        <v>45</v>
      </c>
      <c r="H19" s="33">
        <v>40.635679</v>
      </c>
      <c r="I19" s="51">
        <v>553.626931</v>
      </c>
      <c r="J19" s="50">
        <v>23.082918</v>
      </c>
      <c r="K19" s="32">
        <v>347.508002</v>
      </c>
      <c r="L19" s="33">
        <v>443.237077</v>
      </c>
      <c r="M19" s="33"/>
      <c r="N19" s="33">
        <v>74.56032</v>
      </c>
      <c r="O19" s="33">
        <v>45</v>
      </c>
      <c r="P19" s="33">
        <v>37.819988</v>
      </c>
      <c r="Q19" s="33">
        <v>515.265508</v>
      </c>
      <c r="R19" s="50">
        <v>21.483477</v>
      </c>
      <c r="S19" s="32">
        <v>347.508002</v>
      </c>
      <c r="T19" s="63">
        <v>443.237077</v>
      </c>
      <c r="U19" s="33"/>
      <c r="V19" s="63">
        <v>103.799662</v>
      </c>
      <c r="W19" s="63">
        <v>45</v>
      </c>
      <c r="X19" s="63">
        <v>35.004296</v>
      </c>
      <c r="Y19" s="63">
        <v>476.904085</v>
      </c>
      <c r="Z19" s="50">
        <v>19.884036</v>
      </c>
    </row>
    <row r="20" spans="1:26">
      <c r="A20" s="34"/>
      <c r="B20" s="35">
        <v>50</v>
      </c>
      <c r="C20" s="36">
        <v>377.99116</v>
      </c>
      <c r="D20" s="37">
        <v>481.414554</v>
      </c>
      <c r="E20" s="37"/>
      <c r="F20" s="37">
        <v>45.717704</v>
      </c>
      <c r="G20" s="37">
        <v>45.717704</v>
      </c>
      <c r="H20" s="37">
        <v>40.956658</v>
      </c>
      <c r="I20" s="52">
        <v>558</v>
      </c>
      <c r="J20" s="53">
        <v>23.265249</v>
      </c>
      <c r="K20" s="36">
        <v>377.99116</v>
      </c>
      <c r="L20" s="37">
        <v>481.414554</v>
      </c>
      <c r="M20" s="37"/>
      <c r="N20" s="37">
        <v>75.212996</v>
      </c>
      <c r="O20" s="37">
        <v>50</v>
      </c>
      <c r="P20" s="37">
        <v>42.167312</v>
      </c>
      <c r="Q20" s="64">
        <v>574.49414</v>
      </c>
      <c r="R20" s="53">
        <v>23.952955</v>
      </c>
      <c r="S20" s="36">
        <v>377.99116</v>
      </c>
      <c r="T20" s="37">
        <v>481.414554</v>
      </c>
      <c r="U20" s="37"/>
      <c r="V20" s="37">
        <v>104.708289</v>
      </c>
      <c r="W20" s="37">
        <v>50</v>
      </c>
      <c r="X20" s="37">
        <v>39.095669</v>
      </c>
      <c r="Y20" s="37">
        <v>532.645595</v>
      </c>
      <c r="Z20" s="53">
        <v>22.208122</v>
      </c>
    </row>
    <row r="21" ht="27" customHeight="1" spans="1:26">
      <c r="A21" s="24"/>
      <c r="B21" s="25"/>
      <c r="C21" s="22" t="s">
        <v>32</v>
      </c>
      <c r="D21" s="23"/>
      <c r="E21" s="23"/>
      <c r="F21" s="23"/>
      <c r="G21" s="23"/>
      <c r="H21" s="23"/>
      <c r="I21" s="23"/>
      <c r="J21" s="49"/>
      <c r="K21" s="22" t="s">
        <v>33</v>
      </c>
      <c r="L21" s="23"/>
      <c r="M21" s="23"/>
      <c r="N21" s="23"/>
      <c r="O21" s="23"/>
      <c r="P21" s="23"/>
      <c r="Q21" s="23"/>
      <c r="R21" s="49"/>
      <c r="S21" s="22" t="s">
        <v>34</v>
      </c>
      <c r="T21" s="23"/>
      <c r="U21" s="23"/>
      <c r="V21" s="23"/>
      <c r="W21" s="23"/>
      <c r="X21" s="23"/>
      <c r="Y21" s="23"/>
      <c r="Z21" s="49"/>
    </row>
    <row r="22" spans="1:26">
      <c r="A22" s="38" t="s">
        <v>35</v>
      </c>
      <c r="B22" s="39">
        <v>5</v>
      </c>
      <c r="C22" s="40">
        <v>103.642737</v>
      </c>
      <c r="D22" s="41">
        <v>137.790454</v>
      </c>
      <c r="E22" s="41">
        <v>30.361973</v>
      </c>
      <c r="F22" s="41">
        <v>31.374543</v>
      </c>
      <c r="G22" s="41">
        <v>5</v>
      </c>
      <c r="H22" s="41">
        <v>3.98743</v>
      </c>
      <c r="I22" s="41">
        <v>55.552482</v>
      </c>
      <c r="J22" s="54">
        <v>2.316205</v>
      </c>
      <c r="K22" s="40">
        <v>103.642737</v>
      </c>
      <c r="L22" s="41">
        <v>137.790454</v>
      </c>
      <c r="M22" s="41">
        <v>56.201949</v>
      </c>
      <c r="N22" s="41">
        <v>58.076281</v>
      </c>
      <c r="O22" s="41">
        <v>5</v>
      </c>
      <c r="P22" s="41">
        <v>3.125668</v>
      </c>
      <c r="Q22" s="41">
        <v>43.546504</v>
      </c>
      <c r="R22" s="54">
        <v>1.815628</v>
      </c>
      <c r="S22" s="40">
        <v>103.642737</v>
      </c>
      <c r="T22" s="65">
        <v>137.790454</v>
      </c>
      <c r="U22" s="41">
        <v>82.041926</v>
      </c>
      <c r="V22" s="65">
        <v>84.778019</v>
      </c>
      <c r="W22" s="65">
        <v>5</v>
      </c>
      <c r="X22" s="65">
        <v>2.263907</v>
      </c>
      <c r="Y22" s="65">
        <v>31.540526</v>
      </c>
      <c r="Z22" s="54">
        <v>1.31505</v>
      </c>
    </row>
    <row r="23" spans="1:26">
      <c r="A23" s="42"/>
      <c r="B23" s="39">
        <v>10</v>
      </c>
      <c r="C23" s="40">
        <v>134.125895</v>
      </c>
      <c r="D23" s="41">
        <v>176.171866</v>
      </c>
      <c r="E23" s="41"/>
      <c r="F23" s="41">
        <v>31.662629</v>
      </c>
      <c r="G23" s="41">
        <v>10</v>
      </c>
      <c r="H23" s="41">
        <v>8.699343</v>
      </c>
      <c r="I23" s="41">
        <v>121.198388</v>
      </c>
      <c r="J23" s="54">
        <v>5.053245</v>
      </c>
      <c r="K23" s="40">
        <v>134.125895</v>
      </c>
      <c r="L23" s="41">
        <v>176.171866</v>
      </c>
      <c r="M23" s="41"/>
      <c r="N23" s="41">
        <v>58.609548</v>
      </c>
      <c r="O23" s="41">
        <v>10</v>
      </c>
      <c r="P23" s="41">
        <v>7.592401</v>
      </c>
      <c r="Q23" s="41">
        <v>105.776581</v>
      </c>
      <c r="R23" s="54">
        <v>4.410248</v>
      </c>
      <c r="S23" s="40">
        <v>134.125895</v>
      </c>
      <c r="T23" s="65">
        <v>176.171866</v>
      </c>
      <c r="U23" s="41"/>
      <c r="V23" s="65">
        <v>85.556467</v>
      </c>
      <c r="W23" s="65">
        <v>10</v>
      </c>
      <c r="X23" s="65">
        <v>6.485459</v>
      </c>
      <c r="Y23" s="65">
        <v>90.354774</v>
      </c>
      <c r="Z23" s="54">
        <v>3.767251</v>
      </c>
    </row>
    <row r="24" spans="1:26">
      <c r="A24" s="42"/>
      <c r="B24" s="39">
        <v>15</v>
      </c>
      <c r="C24" s="40">
        <v>164.609053</v>
      </c>
      <c r="D24" s="41">
        <v>214.352646</v>
      </c>
      <c r="E24" s="41"/>
      <c r="F24" s="41">
        <v>31.95182</v>
      </c>
      <c r="G24" s="41">
        <v>15</v>
      </c>
      <c r="H24" s="41">
        <v>13.410152</v>
      </c>
      <c r="I24" s="41">
        <v>186.828917</v>
      </c>
      <c r="J24" s="54">
        <v>7.789644</v>
      </c>
      <c r="K24" s="40">
        <v>164.609053</v>
      </c>
      <c r="L24" s="41">
        <v>214.352646</v>
      </c>
      <c r="M24" s="41"/>
      <c r="N24" s="41">
        <v>59.144859</v>
      </c>
      <c r="O24" s="41">
        <v>15</v>
      </c>
      <c r="P24" s="41">
        <v>12.057091</v>
      </c>
      <c r="Q24" s="41">
        <v>167.978194</v>
      </c>
      <c r="R24" s="54">
        <v>7.003682</v>
      </c>
      <c r="S24" s="40">
        <v>164.609053</v>
      </c>
      <c r="T24" s="65">
        <v>214.352646</v>
      </c>
      <c r="U24" s="41"/>
      <c r="V24" s="65">
        <v>86.337897</v>
      </c>
      <c r="W24" s="65">
        <v>15</v>
      </c>
      <c r="X24" s="65">
        <v>10.704029</v>
      </c>
      <c r="Y24" s="65">
        <v>149.127471</v>
      </c>
      <c r="Z24" s="54">
        <v>6.21772</v>
      </c>
    </row>
    <row r="25" spans="1:26">
      <c r="A25" s="42"/>
      <c r="B25" s="39">
        <v>20</v>
      </c>
      <c r="C25" s="40">
        <v>195.092212</v>
      </c>
      <c r="D25" s="41">
        <v>252.532832</v>
      </c>
      <c r="E25" s="41"/>
      <c r="F25" s="41">
        <v>32.243609</v>
      </c>
      <c r="G25" s="41">
        <v>20</v>
      </c>
      <c r="H25" s="41">
        <v>18.118363</v>
      </c>
      <c r="I25" s="41">
        <v>252.423247</v>
      </c>
      <c r="J25" s="54">
        <v>10.524533</v>
      </c>
      <c r="K25" s="40">
        <v>195.092212</v>
      </c>
      <c r="L25" s="41">
        <v>252.532832</v>
      </c>
      <c r="M25" s="41"/>
      <c r="N25" s="41">
        <v>59.684979</v>
      </c>
      <c r="O25" s="41">
        <v>20</v>
      </c>
      <c r="P25" s="41">
        <v>16.516971</v>
      </c>
      <c r="Q25" s="41">
        <v>230.112801</v>
      </c>
      <c r="R25" s="54">
        <v>9.594322</v>
      </c>
      <c r="S25" s="40">
        <v>195.092212</v>
      </c>
      <c r="T25" s="65">
        <v>252.532832</v>
      </c>
      <c r="U25" s="41"/>
      <c r="V25" s="65">
        <v>87.126348</v>
      </c>
      <c r="W25" s="65">
        <v>20</v>
      </c>
      <c r="X25" s="65">
        <v>14.915578</v>
      </c>
      <c r="Y25" s="65">
        <v>207.802354</v>
      </c>
      <c r="Z25" s="54">
        <v>8.66411</v>
      </c>
    </row>
    <row r="26" spans="1:26">
      <c r="A26" s="42"/>
      <c r="B26" s="39">
        <v>25</v>
      </c>
      <c r="C26" s="40">
        <v>225.57537</v>
      </c>
      <c r="D26" s="41">
        <v>290.712827</v>
      </c>
      <c r="E26" s="41"/>
      <c r="F26" s="41">
        <v>32.537999</v>
      </c>
      <c r="G26" s="41">
        <v>25</v>
      </c>
      <c r="H26" s="41">
        <v>22.823973</v>
      </c>
      <c r="I26" s="41">
        <v>317.981337</v>
      </c>
      <c r="J26" s="54">
        <v>13.257912</v>
      </c>
      <c r="K26" s="40">
        <v>225.57537</v>
      </c>
      <c r="L26" s="41">
        <v>290.712827</v>
      </c>
      <c r="M26" s="41"/>
      <c r="N26" s="41">
        <v>60.229914</v>
      </c>
      <c r="O26" s="41">
        <v>25</v>
      </c>
      <c r="P26" s="41">
        <v>20.972035</v>
      </c>
      <c r="Q26" s="41">
        <v>292.180323</v>
      </c>
      <c r="R26" s="54">
        <v>12.182165</v>
      </c>
      <c r="S26" s="40">
        <v>225.57537</v>
      </c>
      <c r="T26" s="65">
        <v>290.712827</v>
      </c>
      <c r="U26" s="41"/>
      <c r="V26" s="65">
        <v>87.921828</v>
      </c>
      <c r="W26" s="65">
        <v>25</v>
      </c>
      <c r="X26" s="65">
        <v>19.120098</v>
      </c>
      <c r="Y26" s="65">
        <v>266.379309</v>
      </c>
      <c r="Z26" s="54">
        <v>11.106417</v>
      </c>
    </row>
    <row r="27" spans="1:26">
      <c r="A27" s="42"/>
      <c r="B27" s="39">
        <v>30</v>
      </c>
      <c r="C27" s="40">
        <v>256.058528</v>
      </c>
      <c r="D27" s="41">
        <v>328.892637</v>
      </c>
      <c r="E27" s="41"/>
      <c r="F27" s="41">
        <v>32.834991</v>
      </c>
      <c r="G27" s="41">
        <v>30</v>
      </c>
      <c r="H27" s="41">
        <v>27.526982</v>
      </c>
      <c r="I27" s="55">
        <v>383.503186</v>
      </c>
      <c r="J27" s="54">
        <v>15.98978</v>
      </c>
      <c r="K27" s="40">
        <v>256.058528</v>
      </c>
      <c r="L27" s="41">
        <v>328.892637</v>
      </c>
      <c r="M27" s="41"/>
      <c r="N27" s="41">
        <v>60.779664</v>
      </c>
      <c r="O27" s="41">
        <v>30</v>
      </c>
      <c r="P27" s="41">
        <v>25.422285</v>
      </c>
      <c r="Q27" s="41">
        <v>354.180762</v>
      </c>
      <c r="R27" s="54">
        <v>14.767211</v>
      </c>
      <c r="S27" s="40">
        <v>256.058528</v>
      </c>
      <c r="T27" s="65">
        <v>328.892637</v>
      </c>
      <c r="U27" s="41"/>
      <c r="V27" s="65">
        <v>88.724337</v>
      </c>
      <c r="W27" s="65">
        <v>30</v>
      </c>
      <c r="X27" s="65">
        <v>23.317589</v>
      </c>
      <c r="Y27" s="65">
        <v>324.858338</v>
      </c>
      <c r="Z27" s="54">
        <v>13.544642</v>
      </c>
    </row>
    <row r="28" spans="1:26">
      <c r="A28" s="42"/>
      <c r="B28" s="39">
        <v>35</v>
      </c>
      <c r="C28" s="40">
        <v>286.541686</v>
      </c>
      <c r="D28" s="41">
        <v>367.072262</v>
      </c>
      <c r="E28" s="41"/>
      <c r="F28" s="41">
        <v>33.134584</v>
      </c>
      <c r="G28" s="41">
        <v>33.134584</v>
      </c>
      <c r="H28" s="41">
        <v>30.361973</v>
      </c>
      <c r="I28" s="56">
        <v>423</v>
      </c>
      <c r="J28" s="54">
        <v>17.63656</v>
      </c>
      <c r="K28" s="40">
        <v>286.541686</v>
      </c>
      <c r="L28" s="41">
        <v>367.072262</v>
      </c>
      <c r="M28" s="41"/>
      <c r="N28" s="41">
        <v>61.33423</v>
      </c>
      <c r="O28" s="41">
        <v>35</v>
      </c>
      <c r="P28" s="41">
        <v>29.86772</v>
      </c>
      <c r="Q28" s="41">
        <v>416.114117</v>
      </c>
      <c r="R28" s="54">
        <v>17.34946</v>
      </c>
      <c r="S28" s="40">
        <v>286.541686</v>
      </c>
      <c r="T28" s="65">
        <v>367.072262</v>
      </c>
      <c r="U28" s="41"/>
      <c r="V28" s="65">
        <v>89.533875</v>
      </c>
      <c r="W28" s="65">
        <v>35</v>
      </c>
      <c r="X28" s="65">
        <v>27.508051</v>
      </c>
      <c r="Y28" s="65">
        <v>383.239441</v>
      </c>
      <c r="Z28" s="54">
        <v>15.978783</v>
      </c>
    </row>
    <row r="29" spans="1:26">
      <c r="A29" s="42"/>
      <c r="B29" s="39">
        <v>40</v>
      </c>
      <c r="C29" s="40">
        <v>317.024844</v>
      </c>
      <c r="D29" s="41">
        <v>405.251706</v>
      </c>
      <c r="E29" s="41"/>
      <c r="F29" s="41">
        <v>33.436778</v>
      </c>
      <c r="G29" s="41">
        <v>33.436778</v>
      </c>
      <c r="H29" s="41">
        <v>30.361973</v>
      </c>
      <c r="I29" s="56">
        <v>423</v>
      </c>
      <c r="J29" s="54">
        <v>17.63656</v>
      </c>
      <c r="K29" s="40">
        <v>317.024844</v>
      </c>
      <c r="L29" s="41">
        <v>405.251706</v>
      </c>
      <c r="M29" s="41"/>
      <c r="N29" s="41">
        <v>61.89361</v>
      </c>
      <c r="O29" s="41">
        <v>40</v>
      </c>
      <c r="P29" s="41">
        <v>34.308339</v>
      </c>
      <c r="Q29" s="41">
        <v>477.98039</v>
      </c>
      <c r="R29" s="54">
        <v>19.928912</v>
      </c>
      <c r="S29" s="40">
        <v>317.024844</v>
      </c>
      <c r="T29" s="65">
        <v>405.251706</v>
      </c>
      <c r="U29" s="41"/>
      <c r="V29" s="65">
        <v>90.350442</v>
      </c>
      <c r="W29" s="65">
        <v>40</v>
      </c>
      <c r="X29" s="65">
        <v>31.691484</v>
      </c>
      <c r="Y29" s="65">
        <v>441.522618</v>
      </c>
      <c r="Z29" s="54">
        <v>18.408841</v>
      </c>
    </row>
    <row r="30" spans="1:26">
      <c r="A30" s="42"/>
      <c r="B30" s="39">
        <v>45</v>
      </c>
      <c r="C30" s="40">
        <v>347.508002</v>
      </c>
      <c r="D30" s="41">
        <v>443.430971</v>
      </c>
      <c r="E30" s="41"/>
      <c r="F30" s="41">
        <v>33.741573</v>
      </c>
      <c r="G30" s="41">
        <v>33.741573</v>
      </c>
      <c r="H30" s="41">
        <v>30.361973</v>
      </c>
      <c r="I30" s="56">
        <v>423</v>
      </c>
      <c r="J30" s="54">
        <v>17.63656</v>
      </c>
      <c r="K30" s="40">
        <v>347.508002</v>
      </c>
      <c r="L30" s="41">
        <v>443.430971</v>
      </c>
      <c r="M30" s="41"/>
      <c r="N30" s="41">
        <v>62.457805</v>
      </c>
      <c r="O30" s="41">
        <v>45</v>
      </c>
      <c r="P30" s="41">
        <v>38.744144</v>
      </c>
      <c r="Q30" s="41">
        <v>539.77958</v>
      </c>
      <c r="R30" s="54">
        <v>22.505567</v>
      </c>
      <c r="S30" s="40">
        <v>347.508002</v>
      </c>
      <c r="T30" s="65">
        <v>443.430971</v>
      </c>
      <c r="U30" s="41"/>
      <c r="V30" s="65">
        <v>91.174038</v>
      </c>
      <c r="W30" s="65">
        <v>45</v>
      </c>
      <c r="X30" s="65">
        <v>35.867888</v>
      </c>
      <c r="Y30" s="65">
        <v>499.70787</v>
      </c>
      <c r="Z30" s="54">
        <v>20.834817</v>
      </c>
    </row>
    <row r="31" spans="1:26">
      <c r="A31" s="43"/>
      <c r="B31" s="44">
        <v>50</v>
      </c>
      <c r="C31" s="45">
        <v>377.99116</v>
      </c>
      <c r="D31" s="46">
        <v>481.610058</v>
      </c>
      <c r="E31" s="46"/>
      <c r="F31" s="46">
        <v>34.04897</v>
      </c>
      <c r="G31" s="46">
        <v>34.04897</v>
      </c>
      <c r="H31" s="46">
        <v>30.361973</v>
      </c>
      <c r="I31" s="57">
        <v>423</v>
      </c>
      <c r="J31" s="58">
        <v>17.63656</v>
      </c>
      <c r="K31" s="45">
        <v>377.99116</v>
      </c>
      <c r="L31" s="46">
        <v>481.610058</v>
      </c>
      <c r="M31" s="46"/>
      <c r="N31" s="46">
        <v>63.026816</v>
      </c>
      <c r="O31" s="46">
        <v>50</v>
      </c>
      <c r="P31" s="46">
        <v>43.175133</v>
      </c>
      <c r="Q31" s="66">
        <v>601.511689</v>
      </c>
      <c r="R31" s="58">
        <v>25.079425</v>
      </c>
      <c r="S31" s="45">
        <v>377.99116</v>
      </c>
      <c r="T31" s="46">
        <v>481.610058</v>
      </c>
      <c r="U31" s="46"/>
      <c r="V31" s="46">
        <v>92.004662</v>
      </c>
      <c r="W31" s="46">
        <v>50</v>
      </c>
      <c r="X31" s="46">
        <v>40.037264</v>
      </c>
      <c r="Y31" s="46">
        <v>557.795198</v>
      </c>
      <c r="Z31" s="58">
        <v>23.25671</v>
      </c>
    </row>
    <row r="34" spans="1:2">
      <c r="A34" s="19" t="s">
        <v>36</v>
      </c>
      <c r="B34" s="19"/>
    </row>
    <row r="35" ht="27" customHeight="1" spans="1:26">
      <c r="A35" s="20" t="s">
        <v>16</v>
      </c>
      <c r="B35" s="20" t="s">
        <v>37</v>
      </c>
      <c r="C35" s="22" t="s">
        <v>18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49"/>
    </row>
    <row r="36" ht="27" customHeight="1" spans="1:26">
      <c r="A36" s="24"/>
      <c r="B36" s="47"/>
      <c r="C36" s="22" t="s">
        <v>19</v>
      </c>
      <c r="D36" s="23"/>
      <c r="E36" s="23"/>
      <c r="F36" s="23"/>
      <c r="G36" s="23"/>
      <c r="H36" s="23"/>
      <c r="I36" s="23"/>
      <c r="J36" s="49"/>
      <c r="K36" s="22" t="s">
        <v>20</v>
      </c>
      <c r="L36" s="23"/>
      <c r="M36" s="23"/>
      <c r="N36" s="23"/>
      <c r="O36" s="23"/>
      <c r="P36" s="23"/>
      <c r="Q36" s="23"/>
      <c r="R36" s="49"/>
      <c r="S36" s="61" t="s">
        <v>21</v>
      </c>
      <c r="T36" s="62"/>
      <c r="U36" s="62"/>
      <c r="V36" s="62"/>
      <c r="W36" s="62"/>
      <c r="X36" s="62"/>
      <c r="Y36" s="62"/>
      <c r="Z36" s="21"/>
    </row>
    <row r="37" ht="60" customHeight="1" spans="1:26">
      <c r="A37" s="26"/>
      <c r="B37" s="48" t="s">
        <v>22</v>
      </c>
      <c r="C37" s="28" t="s">
        <v>23</v>
      </c>
      <c r="D37" s="29" t="s">
        <v>24</v>
      </c>
      <c r="E37" s="29" t="s">
        <v>25</v>
      </c>
      <c r="F37" s="29" t="s">
        <v>26</v>
      </c>
      <c r="G37" s="29" t="s">
        <v>27</v>
      </c>
      <c r="H37" s="29" t="s">
        <v>28</v>
      </c>
      <c r="I37" s="29" t="s">
        <v>29</v>
      </c>
      <c r="J37" s="27" t="s">
        <v>30</v>
      </c>
      <c r="K37" s="28" t="s">
        <v>23</v>
      </c>
      <c r="L37" s="29" t="s">
        <v>24</v>
      </c>
      <c r="M37" s="29" t="s">
        <v>25</v>
      </c>
      <c r="N37" s="29" t="s">
        <v>26</v>
      </c>
      <c r="O37" s="29" t="s">
        <v>27</v>
      </c>
      <c r="P37" s="29" t="s">
        <v>28</v>
      </c>
      <c r="Q37" s="29" t="s">
        <v>29</v>
      </c>
      <c r="R37" s="27" t="s">
        <v>30</v>
      </c>
      <c r="S37" s="28" t="s">
        <v>23</v>
      </c>
      <c r="T37" s="29" t="s">
        <v>24</v>
      </c>
      <c r="U37" s="29" t="s">
        <v>25</v>
      </c>
      <c r="V37" s="29" t="s">
        <v>26</v>
      </c>
      <c r="W37" s="29" t="s">
        <v>27</v>
      </c>
      <c r="X37" s="29" t="s">
        <v>28</v>
      </c>
      <c r="Y37" s="29" t="s">
        <v>29</v>
      </c>
      <c r="Z37" s="27" t="s">
        <v>30</v>
      </c>
    </row>
    <row r="38" spans="1:26">
      <c r="A38" s="30" t="s">
        <v>31</v>
      </c>
      <c r="B38" s="31">
        <v>5</v>
      </c>
      <c r="C38" s="32">
        <v>103.642737</v>
      </c>
      <c r="D38" s="33">
        <v>150.489897</v>
      </c>
      <c r="E38" s="33">
        <v>25.768693</v>
      </c>
      <c r="F38" s="33">
        <v>27.559295</v>
      </c>
      <c r="G38" s="33">
        <v>5</v>
      </c>
      <c r="H38" s="33">
        <v>3.209398</v>
      </c>
      <c r="I38" s="33">
        <v>69.496889</v>
      </c>
      <c r="J38" s="50">
        <v>2.897603</v>
      </c>
      <c r="K38" s="32">
        <v>103.642737</v>
      </c>
      <c r="L38" s="33">
        <v>150.489897</v>
      </c>
      <c r="M38" s="33">
        <v>42.393657</v>
      </c>
      <c r="N38" s="33">
        <v>45.339486</v>
      </c>
      <c r="O38" s="33">
        <v>5</v>
      </c>
      <c r="P38" s="33">
        <v>2.054171</v>
      </c>
      <c r="Q38" s="33">
        <v>44.481389</v>
      </c>
      <c r="R38" s="50">
        <v>1.854607</v>
      </c>
      <c r="S38" s="32">
        <v>103.642737</v>
      </c>
      <c r="T38" s="63">
        <v>150.489897</v>
      </c>
      <c r="U38" s="33">
        <v>59.01862</v>
      </c>
      <c r="V38" s="63">
        <v>63.119677</v>
      </c>
      <c r="W38" s="63">
        <v>5</v>
      </c>
      <c r="X38" s="63">
        <v>0.898944</v>
      </c>
      <c r="Y38" s="63">
        <v>19.465888</v>
      </c>
      <c r="Z38" s="50">
        <v>0.811611</v>
      </c>
    </row>
    <row r="39" spans="1:26">
      <c r="A39" s="30"/>
      <c r="B39" s="31">
        <v>10</v>
      </c>
      <c r="C39" s="32">
        <v>134.125895</v>
      </c>
      <c r="D39" s="33">
        <v>189.609702</v>
      </c>
      <c r="E39" s="33"/>
      <c r="F39" s="33">
        <v>28.039786</v>
      </c>
      <c r="G39" s="33">
        <v>10</v>
      </c>
      <c r="H39" s="33">
        <v>7.728908</v>
      </c>
      <c r="I39" s="33">
        <v>167.363182</v>
      </c>
      <c r="J39" s="50">
        <v>6.97804</v>
      </c>
      <c r="K39" s="32">
        <v>134.125895</v>
      </c>
      <c r="L39" s="33">
        <v>189.609702</v>
      </c>
      <c r="M39" s="33"/>
      <c r="N39" s="33">
        <v>46.12997</v>
      </c>
      <c r="O39" s="33">
        <v>10</v>
      </c>
      <c r="P39" s="33">
        <v>6.263687</v>
      </c>
      <c r="Q39" s="33">
        <v>135.635022</v>
      </c>
      <c r="R39" s="50">
        <v>5.655166</v>
      </c>
      <c r="S39" s="32">
        <v>134.125895</v>
      </c>
      <c r="T39" s="63">
        <v>189.609702</v>
      </c>
      <c r="U39" s="33"/>
      <c r="V39" s="63">
        <v>64.220154</v>
      </c>
      <c r="W39" s="63">
        <v>10</v>
      </c>
      <c r="X39" s="63">
        <v>4.798466</v>
      </c>
      <c r="Y39" s="63">
        <v>103.906862</v>
      </c>
      <c r="Z39" s="50">
        <v>4.332292</v>
      </c>
    </row>
    <row r="40" spans="1:26">
      <c r="A40" s="30"/>
      <c r="B40" s="31">
        <v>15</v>
      </c>
      <c r="C40" s="32">
        <v>164.609053</v>
      </c>
      <c r="D40" s="33">
        <v>227.975545</v>
      </c>
      <c r="E40" s="33"/>
      <c r="F40" s="33">
        <v>28.517036</v>
      </c>
      <c r="G40" s="33">
        <v>15</v>
      </c>
      <c r="H40" s="33">
        <v>12.251657</v>
      </c>
      <c r="I40" s="33">
        <v>265.29962</v>
      </c>
      <c r="J40" s="50">
        <v>11.061401</v>
      </c>
      <c r="K40" s="32">
        <v>164.609053</v>
      </c>
      <c r="L40" s="33">
        <v>227.975545</v>
      </c>
      <c r="M40" s="33"/>
      <c r="N40" s="33">
        <v>46.915124</v>
      </c>
      <c r="O40" s="33">
        <v>15</v>
      </c>
      <c r="P40" s="33">
        <v>10.478532</v>
      </c>
      <c r="Q40" s="33">
        <v>226.904056</v>
      </c>
      <c r="R40" s="50">
        <v>9.460536</v>
      </c>
      <c r="S40" s="32">
        <v>164.609053</v>
      </c>
      <c r="T40" s="63">
        <v>227.975545</v>
      </c>
      <c r="U40" s="33"/>
      <c r="V40" s="63">
        <v>65.313212</v>
      </c>
      <c r="W40" s="63">
        <v>15</v>
      </c>
      <c r="X40" s="63">
        <v>8.705408</v>
      </c>
      <c r="Y40" s="63">
        <v>188.508492</v>
      </c>
      <c r="Z40" s="50">
        <v>7.859672</v>
      </c>
    </row>
    <row r="41" spans="1:26">
      <c r="A41" s="30"/>
      <c r="B41" s="31">
        <v>20</v>
      </c>
      <c r="C41" s="32">
        <v>195.092212</v>
      </c>
      <c r="D41" s="33">
        <v>266.3355</v>
      </c>
      <c r="E41" s="33"/>
      <c r="F41" s="33">
        <v>29.000175</v>
      </c>
      <c r="G41" s="33">
        <v>20</v>
      </c>
      <c r="H41" s="33">
        <v>16.768518</v>
      </c>
      <c r="I41" s="33">
        <v>363.108558</v>
      </c>
      <c r="J41" s="50">
        <v>15.139446</v>
      </c>
      <c r="K41" s="32">
        <v>195.092212</v>
      </c>
      <c r="L41" s="33">
        <v>266.3355</v>
      </c>
      <c r="M41" s="33"/>
      <c r="N41" s="33">
        <v>47.709966</v>
      </c>
      <c r="O41" s="33">
        <v>20</v>
      </c>
      <c r="P41" s="33">
        <v>14.683691</v>
      </c>
      <c r="Q41" s="33">
        <v>317.963331</v>
      </c>
      <c r="R41" s="50">
        <v>13.257161</v>
      </c>
      <c r="S41" s="32">
        <v>195.092212</v>
      </c>
      <c r="T41" s="63">
        <v>266.3355</v>
      </c>
      <c r="U41" s="33"/>
      <c r="V41" s="63">
        <v>66.419756</v>
      </c>
      <c r="W41" s="63">
        <v>20</v>
      </c>
      <c r="X41" s="63">
        <v>12.598864</v>
      </c>
      <c r="Y41" s="63">
        <v>272.818104</v>
      </c>
      <c r="Z41" s="50">
        <v>11.374876</v>
      </c>
    </row>
    <row r="42" spans="1:26">
      <c r="A42" s="30"/>
      <c r="B42" s="31">
        <v>25</v>
      </c>
      <c r="C42" s="32">
        <v>225.57537</v>
      </c>
      <c r="D42" s="33">
        <v>304.694597</v>
      </c>
      <c r="E42" s="33"/>
      <c r="F42" s="33">
        <v>29.489264</v>
      </c>
      <c r="G42" s="33">
        <v>25</v>
      </c>
      <c r="H42" s="33">
        <v>21.279429</v>
      </c>
      <c r="I42" s="33">
        <v>460.788658</v>
      </c>
      <c r="J42" s="50">
        <v>19.21212</v>
      </c>
      <c r="K42" s="32">
        <v>225.57537</v>
      </c>
      <c r="L42" s="33">
        <v>304.694597</v>
      </c>
      <c r="M42" s="33"/>
      <c r="N42" s="33">
        <v>48.514595</v>
      </c>
      <c r="O42" s="33">
        <v>25</v>
      </c>
      <c r="P42" s="33">
        <v>18.879061</v>
      </c>
      <c r="Q42" s="33">
        <v>408.810647</v>
      </c>
      <c r="R42" s="50">
        <v>17.044949</v>
      </c>
      <c r="S42" s="32">
        <v>225.57537</v>
      </c>
      <c r="T42" s="63">
        <v>304.694597</v>
      </c>
      <c r="U42" s="33"/>
      <c r="V42" s="63">
        <v>67.539927</v>
      </c>
      <c r="W42" s="63">
        <v>25</v>
      </c>
      <c r="X42" s="63">
        <v>16.478693</v>
      </c>
      <c r="Y42" s="63">
        <v>356.832636</v>
      </c>
      <c r="Z42" s="50">
        <v>14.877778</v>
      </c>
    </row>
    <row r="43" spans="1:26">
      <c r="A43" s="30"/>
      <c r="B43" s="31">
        <v>30</v>
      </c>
      <c r="C43" s="32">
        <v>256.058528</v>
      </c>
      <c r="D43" s="33">
        <v>343.052885</v>
      </c>
      <c r="E43" s="33"/>
      <c r="F43" s="33">
        <v>29.984303</v>
      </c>
      <c r="G43" s="33">
        <v>29.984303</v>
      </c>
      <c r="H43" s="33">
        <v>25.768693</v>
      </c>
      <c r="I43" s="59">
        <v>558</v>
      </c>
      <c r="J43" s="50">
        <v>23.265249</v>
      </c>
      <c r="K43" s="32">
        <v>256.058528</v>
      </c>
      <c r="L43" s="33">
        <v>343.052885</v>
      </c>
      <c r="M43" s="33"/>
      <c r="N43" s="33">
        <v>49.329014</v>
      </c>
      <c r="O43" s="33">
        <v>30</v>
      </c>
      <c r="P43" s="33">
        <v>23.064643</v>
      </c>
      <c r="Q43" s="33">
        <v>499.445995</v>
      </c>
      <c r="R43" s="50">
        <v>20.823898</v>
      </c>
      <c r="S43" s="32">
        <v>256.058528</v>
      </c>
      <c r="T43" s="63">
        <v>343.052885</v>
      </c>
      <c r="U43" s="33"/>
      <c r="V43" s="63">
        <v>68.673725</v>
      </c>
      <c r="W43" s="63">
        <v>30</v>
      </c>
      <c r="X43" s="63">
        <v>20.344895</v>
      </c>
      <c r="Y43" s="63">
        <v>440.552075</v>
      </c>
      <c r="Z43" s="50">
        <v>18.368376</v>
      </c>
    </row>
    <row r="44" spans="1:26">
      <c r="A44" s="30"/>
      <c r="B44" s="31">
        <v>35</v>
      </c>
      <c r="C44" s="32">
        <v>286.541686</v>
      </c>
      <c r="D44" s="33">
        <v>381.410379</v>
      </c>
      <c r="E44" s="33"/>
      <c r="F44" s="33">
        <v>30.485291</v>
      </c>
      <c r="G44" s="33">
        <v>30.485291</v>
      </c>
      <c r="H44" s="33">
        <v>25.768693</v>
      </c>
      <c r="I44" s="59">
        <v>558</v>
      </c>
      <c r="J44" s="50">
        <v>23.265249</v>
      </c>
      <c r="K44" s="32">
        <v>286.541686</v>
      </c>
      <c r="L44" s="33">
        <v>381.410379</v>
      </c>
      <c r="M44" s="33"/>
      <c r="N44" s="33">
        <v>50.153221</v>
      </c>
      <c r="O44" s="33">
        <v>35</v>
      </c>
      <c r="P44" s="33">
        <v>27.240436</v>
      </c>
      <c r="Q44" s="33">
        <v>589.869382</v>
      </c>
      <c r="R44" s="50">
        <v>24.594011</v>
      </c>
      <c r="S44" s="32">
        <v>286.541686</v>
      </c>
      <c r="T44" s="63">
        <v>381.410379</v>
      </c>
      <c r="U44" s="33"/>
      <c r="V44" s="63">
        <v>69.821151</v>
      </c>
      <c r="W44" s="63">
        <v>35</v>
      </c>
      <c r="X44" s="63">
        <v>24.197469</v>
      </c>
      <c r="Y44" s="63">
        <v>523.976431</v>
      </c>
      <c r="Z44" s="50">
        <v>21.84667</v>
      </c>
    </row>
    <row r="45" spans="1:26">
      <c r="A45" s="30"/>
      <c r="B45" s="31">
        <v>40</v>
      </c>
      <c r="C45" s="32">
        <v>317.024844</v>
      </c>
      <c r="D45" s="33">
        <v>419.767091</v>
      </c>
      <c r="E45" s="33"/>
      <c r="F45" s="33">
        <v>30.992229</v>
      </c>
      <c r="G45" s="33">
        <v>30.992229</v>
      </c>
      <c r="H45" s="33">
        <v>25.768693</v>
      </c>
      <c r="I45" s="59">
        <v>558</v>
      </c>
      <c r="J45" s="50">
        <v>23.265249</v>
      </c>
      <c r="K45" s="32">
        <v>317.024844</v>
      </c>
      <c r="L45" s="33">
        <v>419.767091</v>
      </c>
      <c r="M45" s="33"/>
      <c r="N45" s="33">
        <v>50.987216</v>
      </c>
      <c r="O45" s="33">
        <v>40</v>
      </c>
      <c r="P45" s="33">
        <v>31.406441</v>
      </c>
      <c r="Q45" s="33">
        <v>680.080814</v>
      </c>
      <c r="R45" s="50">
        <v>28.355285</v>
      </c>
      <c r="S45" s="32">
        <v>317.024844</v>
      </c>
      <c r="T45" s="63">
        <v>419.767091</v>
      </c>
      <c r="U45" s="33"/>
      <c r="V45" s="63">
        <v>70.982203</v>
      </c>
      <c r="W45" s="63">
        <v>40</v>
      </c>
      <c r="X45" s="63">
        <v>28.036417</v>
      </c>
      <c r="Y45" s="63">
        <v>607.105714</v>
      </c>
      <c r="Z45" s="50">
        <v>25.312662</v>
      </c>
    </row>
    <row r="46" spans="1:26">
      <c r="A46" s="30"/>
      <c r="B46" s="31">
        <v>45</v>
      </c>
      <c r="C46" s="32">
        <v>347.508002</v>
      </c>
      <c r="D46" s="33">
        <v>458.123035</v>
      </c>
      <c r="E46" s="33"/>
      <c r="F46" s="33">
        <v>31.505117</v>
      </c>
      <c r="G46" s="33">
        <v>31.505117</v>
      </c>
      <c r="H46" s="33">
        <v>25.768693</v>
      </c>
      <c r="I46" s="59">
        <v>558</v>
      </c>
      <c r="J46" s="50">
        <v>23.265249</v>
      </c>
      <c r="K46" s="32">
        <v>347.508002</v>
      </c>
      <c r="L46" s="33">
        <v>458.123035</v>
      </c>
      <c r="M46" s="33"/>
      <c r="N46" s="33">
        <v>51.830999</v>
      </c>
      <c r="O46" s="33">
        <v>45</v>
      </c>
      <c r="P46" s="33">
        <v>35.562658</v>
      </c>
      <c r="Q46" s="33">
        <v>770.080299</v>
      </c>
      <c r="R46" s="50">
        <v>32.107723</v>
      </c>
      <c r="S46" s="32">
        <v>347.508002</v>
      </c>
      <c r="T46" s="63">
        <v>458.123035</v>
      </c>
      <c r="U46" s="33"/>
      <c r="V46" s="63">
        <v>72.156881</v>
      </c>
      <c r="W46" s="63">
        <v>45</v>
      </c>
      <c r="X46" s="63">
        <v>31.861739</v>
      </c>
      <c r="Y46" s="63">
        <v>689.939932</v>
      </c>
      <c r="Z46" s="50">
        <v>28.766351</v>
      </c>
    </row>
    <row r="47" spans="1:26">
      <c r="A47" s="34"/>
      <c r="B47" s="35">
        <v>50</v>
      </c>
      <c r="C47" s="36">
        <v>377.99116</v>
      </c>
      <c r="D47" s="37">
        <v>496.478224</v>
      </c>
      <c r="E47" s="37"/>
      <c r="F47" s="37">
        <v>32.023954</v>
      </c>
      <c r="G47" s="37">
        <v>32.023954</v>
      </c>
      <c r="H47" s="37">
        <v>25.768693</v>
      </c>
      <c r="I47" s="52">
        <v>558</v>
      </c>
      <c r="J47" s="53">
        <v>23.265249</v>
      </c>
      <c r="K47" s="36">
        <v>377.99116</v>
      </c>
      <c r="L47" s="37">
        <v>496.478224</v>
      </c>
      <c r="M47" s="37"/>
      <c r="N47" s="37">
        <v>52.684569</v>
      </c>
      <c r="O47" s="37">
        <v>50</v>
      </c>
      <c r="P47" s="37">
        <v>39.709087</v>
      </c>
      <c r="Q47" s="37">
        <v>859.867843</v>
      </c>
      <c r="R47" s="53">
        <v>35.851325</v>
      </c>
      <c r="S47" s="36">
        <v>377.99116</v>
      </c>
      <c r="T47" s="37">
        <v>496.478224</v>
      </c>
      <c r="U47" s="37"/>
      <c r="V47" s="37">
        <v>73.345185</v>
      </c>
      <c r="W47" s="37">
        <v>50</v>
      </c>
      <c r="X47" s="37">
        <v>35.673435</v>
      </c>
      <c r="Y47" s="37">
        <v>772.479095</v>
      </c>
      <c r="Z47" s="53">
        <v>32.207739</v>
      </c>
    </row>
    <row r="48" ht="27" customHeight="1" spans="1:26">
      <c r="A48" s="24"/>
      <c r="B48" s="25"/>
      <c r="C48" s="22" t="s">
        <v>32</v>
      </c>
      <c r="D48" s="23"/>
      <c r="E48" s="23"/>
      <c r="F48" s="23"/>
      <c r="G48" s="23"/>
      <c r="H48" s="23"/>
      <c r="I48" s="23"/>
      <c r="J48" s="49"/>
      <c r="K48" s="22" t="s">
        <v>33</v>
      </c>
      <c r="L48" s="23"/>
      <c r="M48" s="23"/>
      <c r="N48" s="23"/>
      <c r="O48" s="23"/>
      <c r="P48" s="23"/>
      <c r="Q48" s="23"/>
      <c r="R48" s="49"/>
      <c r="S48" s="22" t="s">
        <v>34</v>
      </c>
      <c r="T48" s="23"/>
      <c r="U48" s="23"/>
      <c r="V48" s="23"/>
      <c r="W48" s="23"/>
      <c r="X48" s="23"/>
      <c r="Y48" s="23"/>
      <c r="Z48" s="49"/>
    </row>
    <row r="49" spans="1:26">
      <c r="A49" s="38" t="s">
        <v>35</v>
      </c>
      <c r="B49" s="39">
        <v>5</v>
      </c>
      <c r="C49" s="40">
        <v>103.642737</v>
      </c>
      <c r="D49" s="41">
        <v>150.948547</v>
      </c>
      <c r="E49" s="41">
        <v>19.434765</v>
      </c>
      <c r="F49" s="41">
        <v>20.835988</v>
      </c>
      <c r="G49" s="41">
        <v>5</v>
      </c>
      <c r="H49" s="41">
        <v>3.598777</v>
      </c>
      <c r="I49" s="41">
        <v>78.327811</v>
      </c>
      <c r="J49" s="54">
        <v>3.265799</v>
      </c>
      <c r="K49" s="40">
        <v>103.642737</v>
      </c>
      <c r="L49" s="41">
        <v>150.948547</v>
      </c>
      <c r="M49" s="41">
        <v>35.974991</v>
      </c>
      <c r="N49" s="41">
        <v>38.568744</v>
      </c>
      <c r="O49" s="41">
        <v>5</v>
      </c>
      <c r="P49" s="41">
        <v>2.406247</v>
      </c>
      <c r="Q49" s="41">
        <v>52.372245</v>
      </c>
      <c r="R49" s="54">
        <v>2.183608</v>
      </c>
      <c r="S49" s="40">
        <v>103.642737</v>
      </c>
      <c r="T49" s="65">
        <v>150.948547</v>
      </c>
      <c r="U49" s="41">
        <v>52.515216</v>
      </c>
      <c r="V49" s="65">
        <v>56.3015</v>
      </c>
      <c r="W49" s="65">
        <v>5</v>
      </c>
      <c r="X49" s="65">
        <v>1.213716</v>
      </c>
      <c r="Y49" s="65">
        <v>26.416679</v>
      </c>
      <c r="Z49" s="54">
        <v>1.101417</v>
      </c>
    </row>
    <row r="50" spans="1:26">
      <c r="A50" s="42"/>
      <c r="B50" s="39">
        <v>10</v>
      </c>
      <c r="C50" s="40">
        <v>134.125895</v>
      </c>
      <c r="D50" s="41">
        <v>190.093764</v>
      </c>
      <c r="E50" s="41"/>
      <c r="F50" s="41">
        <v>21.211283</v>
      </c>
      <c r="G50" s="41">
        <v>10</v>
      </c>
      <c r="H50" s="41">
        <v>8.223482</v>
      </c>
      <c r="I50" s="41">
        <v>178.985084</v>
      </c>
      <c r="J50" s="54">
        <v>7.462603</v>
      </c>
      <c r="K50" s="40">
        <v>134.125895</v>
      </c>
      <c r="L50" s="41">
        <v>190.093764</v>
      </c>
      <c r="M50" s="41"/>
      <c r="N50" s="41">
        <v>39.263438</v>
      </c>
      <c r="O50" s="41">
        <v>10</v>
      </c>
      <c r="P50" s="41">
        <v>6.711553</v>
      </c>
      <c r="Q50" s="41">
        <v>146.077749</v>
      </c>
      <c r="R50" s="54">
        <v>6.090565</v>
      </c>
      <c r="S50" s="40">
        <v>134.125895</v>
      </c>
      <c r="T50" s="65">
        <v>190.093764</v>
      </c>
      <c r="U50" s="41"/>
      <c r="V50" s="65">
        <v>57.315594</v>
      </c>
      <c r="W50" s="65">
        <v>10</v>
      </c>
      <c r="X50" s="65">
        <v>5.199623</v>
      </c>
      <c r="Y50" s="65">
        <v>113.170415</v>
      </c>
      <c r="Z50" s="54">
        <v>4.718527</v>
      </c>
    </row>
    <row r="51" spans="1:26">
      <c r="A51" s="42"/>
      <c r="B51" s="39">
        <v>15</v>
      </c>
      <c r="C51" s="40">
        <v>164.609053</v>
      </c>
      <c r="D51" s="41">
        <v>228.465511</v>
      </c>
      <c r="E51" s="41"/>
      <c r="F51" s="41">
        <v>21.583926</v>
      </c>
      <c r="G51" s="41">
        <v>15</v>
      </c>
      <c r="H51" s="41">
        <v>12.85084</v>
      </c>
      <c r="I51" s="41">
        <v>279.70007</v>
      </c>
      <c r="J51" s="54">
        <v>11.661813</v>
      </c>
      <c r="K51" s="40">
        <v>164.609053</v>
      </c>
      <c r="L51" s="41">
        <v>228.465511</v>
      </c>
      <c r="M51" s="41"/>
      <c r="N51" s="41">
        <v>39.953224</v>
      </c>
      <c r="O51" s="41">
        <v>15</v>
      </c>
      <c r="P51" s="41">
        <v>11.021767</v>
      </c>
      <c r="Q51" s="41">
        <v>239.890083</v>
      </c>
      <c r="R51" s="54">
        <v>10.001976</v>
      </c>
      <c r="S51" s="40">
        <v>164.609053</v>
      </c>
      <c r="T51" s="65">
        <v>228.465511</v>
      </c>
      <c r="U51" s="41"/>
      <c r="V51" s="65">
        <v>58.322522</v>
      </c>
      <c r="W51" s="65">
        <v>15</v>
      </c>
      <c r="X51" s="65">
        <v>9.192694</v>
      </c>
      <c r="Y51" s="65">
        <v>200.080097</v>
      </c>
      <c r="Z51" s="54">
        <v>8.342138</v>
      </c>
    </row>
    <row r="52" spans="1:26">
      <c r="A52" s="42"/>
      <c r="B52" s="39">
        <v>20</v>
      </c>
      <c r="C52" s="40">
        <v>195.092212</v>
      </c>
      <c r="D52" s="41">
        <v>266.831107</v>
      </c>
      <c r="E52" s="41"/>
      <c r="F52" s="41">
        <v>21.961224</v>
      </c>
      <c r="G52" s="41">
        <v>20</v>
      </c>
      <c r="H52" s="41">
        <v>17.473541</v>
      </c>
      <c r="I52" s="41">
        <v>380.313729</v>
      </c>
      <c r="J52" s="54">
        <v>15.856798</v>
      </c>
      <c r="K52" s="40">
        <v>195.092212</v>
      </c>
      <c r="L52" s="41">
        <v>266.831107</v>
      </c>
      <c r="M52" s="41"/>
      <c r="N52" s="41">
        <v>40.651627</v>
      </c>
      <c r="O52" s="41">
        <v>20</v>
      </c>
      <c r="P52" s="41">
        <v>15.323364</v>
      </c>
      <c r="Q52" s="41">
        <v>333.514857</v>
      </c>
      <c r="R52" s="54">
        <v>13.905566</v>
      </c>
      <c r="S52" s="40">
        <v>195.092212</v>
      </c>
      <c r="T52" s="65">
        <v>266.831107</v>
      </c>
      <c r="U52" s="41"/>
      <c r="V52" s="65">
        <v>59.34203</v>
      </c>
      <c r="W52" s="65">
        <v>20</v>
      </c>
      <c r="X52" s="65">
        <v>13.173186</v>
      </c>
      <c r="Y52" s="65">
        <v>286.715984</v>
      </c>
      <c r="Z52" s="54">
        <v>11.954335</v>
      </c>
    </row>
    <row r="53" spans="1:26">
      <c r="A53" s="42"/>
      <c r="B53" s="39">
        <v>25</v>
      </c>
      <c r="C53" s="40">
        <v>225.57537</v>
      </c>
      <c r="D53" s="41">
        <v>305.195825</v>
      </c>
      <c r="E53" s="41"/>
      <c r="F53" s="41">
        <v>22.343228</v>
      </c>
      <c r="G53" s="41">
        <v>22.343228</v>
      </c>
      <c r="H53" s="41">
        <v>19.434765</v>
      </c>
      <c r="I53" s="56">
        <v>423</v>
      </c>
      <c r="J53" s="54">
        <v>17.63656</v>
      </c>
      <c r="K53" s="40">
        <v>225.57537</v>
      </c>
      <c r="L53" s="41">
        <v>305.195825</v>
      </c>
      <c r="M53" s="41"/>
      <c r="N53" s="41">
        <v>41.358741</v>
      </c>
      <c r="O53" s="41">
        <v>25</v>
      </c>
      <c r="P53" s="41">
        <v>19.61625</v>
      </c>
      <c r="Q53" s="41">
        <v>426.950033</v>
      </c>
      <c r="R53" s="54">
        <v>17.801252</v>
      </c>
      <c r="S53" s="40">
        <v>225.57537</v>
      </c>
      <c r="T53" s="65">
        <v>305.195825</v>
      </c>
      <c r="U53" s="41"/>
      <c r="V53" s="65">
        <v>60.374254</v>
      </c>
      <c r="W53" s="65">
        <v>25</v>
      </c>
      <c r="X53" s="65">
        <v>17.140962</v>
      </c>
      <c r="Y53" s="65">
        <v>373.075102</v>
      </c>
      <c r="Z53" s="54">
        <v>15.554991</v>
      </c>
    </row>
    <row r="54" spans="1:26">
      <c r="A54" s="42"/>
      <c r="B54" s="39">
        <v>30</v>
      </c>
      <c r="C54" s="40">
        <v>256.058528</v>
      </c>
      <c r="D54" s="41">
        <v>343.559716</v>
      </c>
      <c r="E54" s="41"/>
      <c r="F54" s="41">
        <v>22.729938</v>
      </c>
      <c r="G54" s="41">
        <v>22.729938</v>
      </c>
      <c r="H54" s="41">
        <v>19.434765</v>
      </c>
      <c r="I54" s="56">
        <v>423</v>
      </c>
      <c r="J54" s="54">
        <v>17.63656</v>
      </c>
      <c r="K54" s="40">
        <v>256.058528</v>
      </c>
      <c r="L54" s="41">
        <v>343.559716</v>
      </c>
      <c r="M54" s="41"/>
      <c r="N54" s="41">
        <v>42.074567</v>
      </c>
      <c r="O54" s="41">
        <v>30</v>
      </c>
      <c r="P54" s="41">
        <v>23.900424</v>
      </c>
      <c r="Q54" s="41">
        <v>520.195603</v>
      </c>
      <c r="R54" s="54">
        <v>21.689032</v>
      </c>
      <c r="S54" s="40">
        <v>256.058528</v>
      </c>
      <c r="T54" s="65">
        <v>343.559716</v>
      </c>
      <c r="U54" s="41"/>
      <c r="V54" s="65">
        <v>61.419195</v>
      </c>
      <c r="W54" s="65">
        <v>30</v>
      </c>
      <c r="X54" s="65">
        <v>21.096021</v>
      </c>
      <c r="Y54" s="65">
        <v>459.15744</v>
      </c>
      <c r="Z54" s="54">
        <v>19.144108</v>
      </c>
    </row>
    <row r="55" spans="1:26">
      <c r="A55" s="42"/>
      <c r="B55" s="39">
        <v>35</v>
      </c>
      <c r="C55" s="40">
        <v>286.541686</v>
      </c>
      <c r="D55" s="41">
        <v>381.922796</v>
      </c>
      <c r="E55" s="41"/>
      <c r="F55" s="41">
        <v>23.121355</v>
      </c>
      <c r="G55" s="41">
        <v>23.121355</v>
      </c>
      <c r="H55" s="41">
        <v>19.434765</v>
      </c>
      <c r="I55" s="56">
        <v>423</v>
      </c>
      <c r="J55" s="54">
        <v>17.63656</v>
      </c>
      <c r="K55" s="40">
        <v>286.541686</v>
      </c>
      <c r="L55" s="41">
        <v>381.922796</v>
      </c>
      <c r="M55" s="41"/>
      <c r="N55" s="41">
        <v>42.799104</v>
      </c>
      <c r="O55" s="41">
        <v>35</v>
      </c>
      <c r="P55" s="41">
        <v>28.175887</v>
      </c>
      <c r="Q55" s="41">
        <v>613.251574</v>
      </c>
      <c r="R55" s="54">
        <v>25.568908</v>
      </c>
      <c r="S55" s="40">
        <v>286.541686</v>
      </c>
      <c r="T55" s="65">
        <v>381.922796</v>
      </c>
      <c r="U55" s="41"/>
      <c r="V55" s="65">
        <v>62.476852</v>
      </c>
      <c r="W55" s="65">
        <v>35</v>
      </c>
      <c r="X55" s="65">
        <v>25.038364</v>
      </c>
      <c r="Y55" s="65">
        <v>544.963007</v>
      </c>
      <c r="Z55" s="54">
        <v>22.721684</v>
      </c>
    </row>
    <row r="56" spans="1:26">
      <c r="A56" s="42"/>
      <c r="B56" s="39">
        <v>40</v>
      </c>
      <c r="C56" s="40">
        <v>317.024844</v>
      </c>
      <c r="D56" s="41">
        <v>420.285076</v>
      </c>
      <c r="E56" s="41"/>
      <c r="F56" s="41">
        <v>23.517477</v>
      </c>
      <c r="G56" s="41">
        <v>23.517477</v>
      </c>
      <c r="H56" s="41">
        <v>19.434765</v>
      </c>
      <c r="I56" s="56">
        <v>423</v>
      </c>
      <c r="J56" s="54">
        <v>17.63656</v>
      </c>
      <c r="K56" s="40">
        <v>317.024844</v>
      </c>
      <c r="L56" s="41">
        <v>420.285076</v>
      </c>
      <c r="M56" s="41"/>
      <c r="N56" s="41">
        <v>43.532351</v>
      </c>
      <c r="O56" s="41">
        <v>40</v>
      </c>
      <c r="P56" s="41">
        <v>32.44264</v>
      </c>
      <c r="Q56" s="41">
        <v>706.117953</v>
      </c>
      <c r="R56" s="54">
        <v>29.440878</v>
      </c>
      <c r="S56" s="40">
        <v>317.024844</v>
      </c>
      <c r="T56" s="65">
        <v>420.285076</v>
      </c>
      <c r="U56" s="41"/>
      <c r="V56" s="65">
        <v>63.547225</v>
      </c>
      <c r="W56" s="65">
        <v>40</v>
      </c>
      <c r="X56" s="65">
        <v>28.967991</v>
      </c>
      <c r="Y56" s="65">
        <v>630.491812</v>
      </c>
      <c r="Z56" s="54">
        <v>26.287722</v>
      </c>
    </row>
    <row r="57" spans="1:26">
      <c r="A57" s="42"/>
      <c r="B57" s="39">
        <v>45</v>
      </c>
      <c r="C57" s="40">
        <v>347.508002</v>
      </c>
      <c r="D57" s="41">
        <v>458.646572</v>
      </c>
      <c r="E57" s="41"/>
      <c r="F57" s="41">
        <v>23.918305</v>
      </c>
      <c r="G57" s="41">
        <v>23.918305</v>
      </c>
      <c r="H57" s="41">
        <v>19.434765</v>
      </c>
      <c r="I57" s="56">
        <v>423</v>
      </c>
      <c r="J57" s="54">
        <v>17.63656</v>
      </c>
      <c r="K57" s="40">
        <v>347.508002</v>
      </c>
      <c r="L57" s="41">
        <v>458.646572</v>
      </c>
      <c r="M57" s="41"/>
      <c r="N57" s="41">
        <v>44.274309</v>
      </c>
      <c r="O57" s="41">
        <v>44.274309</v>
      </c>
      <c r="P57" s="41">
        <v>35.974991</v>
      </c>
      <c r="Q57" s="56">
        <v>783</v>
      </c>
      <c r="R57" s="54">
        <v>32.646397</v>
      </c>
      <c r="S57" s="40">
        <v>347.508002</v>
      </c>
      <c r="T57" s="65">
        <v>458.646572</v>
      </c>
      <c r="U57" s="41"/>
      <c r="V57" s="65">
        <v>64.630314</v>
      </c>
      <c r="W57" s="65">
        <v>45</v>
      </c>
      <c r="X57" s="65">
        <v>32.884903</v>
      </c>
      <c r="Y57" s="65">
        <v>715.743864</v>
      </c>
      <c r="Z57" s="54">
        <v>29.84222</v>
      </c>
    </row>
    <row r="58" spans="1:26">
      <c r="A58" s="43"/>
      <c r="B58" s="44">
        <v>50</v>
      </c>
      <c r="C58" s="45">
        <v>377.99116</v>
      </c>
      <c r="D58" s="46">
        <v>497.007295</v>
      </c>
      <c r="E58" s="46"/>
      <c r="F58" s="46">
        <v>24.323839</v>
      </c>
      <c r="G58" s="46">
        <v>24.323839</v>
      </c>
      <c r="H58" s="46">
        <v>19.434765</v>
      </c>
      <c r="I58" s="57">
        <v>423</v>
      </c>
      <c r="J58" s="58">
        <v>17.63656</v>
      </c>
      <c r="K58" s="45">
        <v>377.99116</v>
      </c>
      <c r="L58" s="46">
        <v>497.007295</v>
      </c>
      <c r="M58" s="46"/>
      <c r="N58" s="46">
        <v>45.024978</v>
      </c>
      <c r="O58" s="46">
        <v>45.024978</v>
      </c>
      <c r="P58" s="46">
        <v>35.974991</v>
      </c>
      <c r="Q58" s="57">
        <v>783</v>
      </c>
      <c r="R58" s="58">
        <v>32.646397</v>
      </c>
      <c r="S58" s="45">
        <v>377.99116</v>
      </c>
      <c r="T58" s="46">
        <v>497.007295</v>
      </c>
      <c r="U58" s="46"/>
      <c r="V58" s="46">
        <v>65.726117</v>
      </c>
      <c r="W58" s="46">
        <v>50</v>
      </c>
      <c r="X58" s="46">
        <v>36.789099</v>
      </c>
      <c r="Y58" s="46">
        <v>800.719172</v>
      </c>
      <c r="Z58" s="58">
        <v>33.38518</v>
      </c>
    </row>
    <row r="61" spans="1:2">
      <c r="A61" s="19" t="s">
        <v>38</v>
      </c>
      <c r="B61" s="19"/>
    </row>
    <row r="62" ht="27" customHeight="1" spans="1:26">
      <c r="A62" s="20" t="s">
        <v>16</v>
      </c>
      <c r="B62" s="20" t="s">
        <v>37</v>
      </c>
      <c r="C62" s="22" t="s">
        <v>18</v>
      </c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49"/>
    </row>
    <row r="63" ht="27" customHeight="1" spans="1:26">
      <c r="A63" s="24"/>
      <c r="B63" s="47"/>
      <c r="C63" s="22" t="s">
        <v>19</v>
      </c>
      <c r="D63" s="23"/>
      <c r="E63" s="23"/>
      <c r="F63" s="23"/>
      <c r="G63" s="23"/>
      <c r="H63" s="23"/>
      <c r="I63" s="23"/>
      <c r="J63" s="49"/>
      <c r="K63" s="22" t="s">
        <v>20</v>
      </c>
      <c r="L63" s="23"/>
      <c r="M63" s="23"/>
      <c r="N63" s="23"/>
      <c r="O63" s="23"/>
      <c r="P63" s="23"/>
      <c r="Q63" s="23"/>
      <c r="R63" s="49"/>
      <c r="S63" s="61" t="s">
        <v>21</v>
      </c>
      <c r="T63" s="62"/>
      <c r="U63" s="62"/>
      <c r="V63" s="62"/>
      <c r="W63" s="62"/>
      <c r="X63" s="62"/>
      <c r="Y63" s="62"/>
      <c r="Z63" s="21"/>
    </row>
    <row r="64" ht="60" customHeight="1" spans="1:26">
      <c r="A64" s="26"/>
      <c r="B64" s="48" t="s">
        <v>22</v>
      </c>
      <c r="C64" s="28" t="s">
        <v>23</v>
      </c>
      <c r="D64" s="29" t="s">
        <v>24</v>
      </c>
      <c r="E64" s="29" t="s">
        <v>25</v>
      </c>
      <c r="F64" s="29" t="s">
        <v>26</v>
      </c>
      <c r="G64" s="29" t="s">
        <v>27</v>
      </c>
      <c r="H64" s="29" t="s">
        <v>28</v>
      </c>
      <c r="I64" s="29" t="s">
        <v>29</v>
      </c>
      <c r="J64" s="27" t="s">
        <v>30</v>
      </c>
      <c r="K64" s="28" t="s">
        <v>23</v>
      </c>
      <c r="L64" s="29" t="s">
        <v>24</v>
      </c>
      <c r="M64" s="29" t="s">
        <v>25</v>
      </c>
      <c r="N64" s="29" t="s">
        <v>26</v>
      </c>
      <c r="O64" s="29" t="s">
        <v>27</v>
      </c>
      <c r="P64" s="29" t="s">
        <v>28</v>
      </c>
      <c r="Q64" s="29" t="s">
        <v>29</v>
      </c>
      <c r="R64" s="27" t="s">
        <v>30</v>
      </c>
      <c r="S64" s="28" t="s">
        <v>23</v>
      </c>
      <c r="T64" s="29" t="s">
        <v>24</v>
      </c>
      <c r="U64" s="29" t="s">
        <v>25</v>
      </c>
      <c r="V64" s="29" t="s">
        <v>26</v>
      </c>
      <c r="W64" s="29" t="s">
        <v>27</v>
      </c>
      <c r="X64" s="29" t="s">
        <v>28</v>
      </c>
      <c r="Y64" s="29" t="s">
        <v>29</v>
      </c>
      <c r="Z64" s="27" t="s">
        <v>30</v>
      </c>
    </row>
    <row r="65" spans="1:26">
      <c r="A65" s="30" t="s">
        <v>31</v>
      </c>
      <c r="B65" s="31">
        <v>5</v>
      </c>
      <c r="C65" s="32">
        <v>103.642737</v>
      </c>
      <c r="D65" s="33">
        <v>151.66666</v>
      </c>
      <c r="E65" s="33">
        <v>45.7638</v>
      </c>
      <c r="F65" s="33">
        <v>47.511063</v>
      </c>
      <c r="G65" s="33">
        <v>5</v>
      </c>
      <c r="H65" s="33">
        <v>3.252736</v>
      </c>
      <c r="I65" s="33">
        <v>39.660755</v>
      </c>
      <c r="J65" s="50">
        <v>1.653615</v>
      </c>
      <c r="K65" s="32">
        <v>103.642737</v>
      </c>
      <c r="L65" s="33">
        <v>151.66666</v>
      </c>
      <c r="M65" s="33">
        <v>75.288832</v>
      </c>
      <c r="N65" s="33">
        <v>78.163362</v>
      </c>
      <c r="O65" s="33">
        <v>5</v>
      </c>
      <c r="P65" s="33">
        <v>2.125469</v>
      </c>
      <c r="Q65" s="33">
        <v>25.915941</v>
      </c>
      <c r="R65" s="50">
        <v>1.080539</v>
      </c>
      <c r="S65" s="32">
        <v>103.642737</v>
      </c>
      <c r="T65" s="63">
        <v>151.66666</v>
      </c>
      <c r="U65" s="33">
        <v>104.813864</v>
      </c>
      <c r="V65" s="63">
        <v>108.815661</v>
      </c>
      <c r="W65" s="63">
        <v>5</v>
      </c>
      <c r="X65" s="63">
        <v>0.998202</v>
      </c>
      <c r="Y65" s="63">
        <v>12.171126</v>
      </c>
      <c r="Z65" s="50">
        <v>0.507463</v>
      </c>
    </row>
    <row r="66" spans="1:26">
      <c r="A66" s="30"/>
      <c r="B66" s="31">
        <v>10</v>
      </c>
      <c r="C66" s="32">
        <v>134.125895</v>
      </c>
      <c r="D66" s="33">
        <v>190.548255</v>
      </c>
      <c r="E66" s="33"/>
      <c r="F66" s="33">
        <v>47.96757</v>
      </c>
      <c r="G66" s="33">
        <v>10</v>
      </c>
      <c r="H66" s="33">
        <v>7.79623</v>
      </c>
      <c r="I66" s="33">
        <v>95.05977</v>
      </c>
      <c r="J66" s="50">
        <v>3.963421</v>
      </c>
      <c r="K66" s="32">
        <v>134.125895</v>
      </c>
      <c r="L66" s="33">
        <v>190.548255</v>
      </c>
      <c r="M66" s="33"/>
      <c r="N66" s="33">
        <v>78.914389</v>
      </c>
      <c r="O66" s="33">
        <v>10</v>
      </c>
      <c r="P66" s="33">
        <v>6.374443</v>
      </c>
      <c r="Q66" s="33">
        <v>77.723857</v>
      </c>
      <c r="R66" s="50">
        <v>3.240618</v>
      </c>
      <c r="S66" s="32">
        <v>134.125895</v>
      </c>
      <c r="T66" s="63">
        <v>190.548255</v>
      </c>
      <c r="U66" s="33"/>
      <c r="V66" s="63">
        <v>109.861208</v>
      </c>
      <c r="W66" s="63">
        <v>10</v>
      </c>
      <c r="X66" s="63">
        <v>4.952656</v>
      </c>
      <c r="Y66" s="63">
        <v>60.387944</v>
      </c>
      <c r="Z66" s="50">
        <v>2.517815</v>
      </c>
    </row>
    <row r="67" spans="1:26">
      <c r="A67" s="30"/>
      <c r="B67" s="31">
        <v>15</v>
      </c>
      <c r="C67" s="32">
        <v>164.609053</v>
      </c>
      <c r="D67" s="33">
        <v>228.850362</v>
      </c>
      <c r="E67" s="33"/>
      <c r="F67" s="33">
        <v>48.420694</v>
      </c>
      <c r="G67" s="33">
        <v>15</v>
      </c>
      <c r="H67" s="33">
        <v>12.343106</v>
      </c>
      <c r="I67" s="33">
        <v>150.500027</v>
      </c>
      <c r="J67" s="50">
        <v>6.274947</v>
      </c>
      <c r="K67" s="32">
        <v>164.609053</v>
      </c>
      <c r="L67" s="33">
        <v>228.850362</v>
      </c>
      <c r="M67" s="33"/>
      <c r="N67" s="33">
        <v>79.659851</v>
      </c>
      <c r="O67" s="33">
        <v>15</v>
      </c>
      <c r="P67" s="33">
        <v>10.628981</v>
      </c>
      <c r="Q67" s="33">
        <v>129.599624</v>
      </c>
      <c r="R67" s="50">
        <v>5.403526</v>
      </c>
      <c r="S67" s="32">
        <v>164.609053</v>
      </c>
      <c r="T67" s="63">
        <v>228.850362</v>
      </c>
      <c r="U67" s="33"/>
      <c r="V67" s="63">
        <v>110.899008</v>
      </c>
      <c r="W67" s="63">
        <v>15</v>
      </c>
      <c r="X67" s="63">
        <v>8.914855</v>
      </c>
      <c r="Y67" s="63">
        <v>108.699221</v>
      </c>
      <c r="Z67" s="50">
        <v>4.532105</v>
      </c>
    </row>
    <row r="68" spans="1:26">
      <c r="A68" s="30"/>
      <c r="B68" s="31">
        <v>20</v>
      </c>
      <c r="C68" s="32">
        <v>195.092212</v>
      </c>
      <c r="D68" s="33">
        <v>267.14905</v>
      </c>
      <c r="E68" s="33"/>
      <c r="F68" s="33">
        <v>48.877172</v>
      </c>
      <c r="G68" s="33">
        <v>20</v>
      </c>
      <c r="H68" s="33">
        <v>16.886627</v>
      </c>
      <c r="I68" s="33">
        <v>205.899381</v>
      </c>
      <c r="J68" s="50">
        <v>8.584768</v>
      </c>
      <c r="K68" s="32">
        <v>195.092212</v>
      </c>
      <c r="L68" s="33">
        <v>267.14905</v>
      </c>
      <c r="M68" s="33"/>
      <c r="N68" s="33">
        <v>80.410832</v>
      </c>
      <c r="O68" s="33">
        <v>20</v>
      </c>
      <c r="P68" s="33">
        <v>14.878</v>
      </c>
      <c r="Q68" s="33">
        <v>181.408098</v>
      </c>
      <c r="R68" s="50">
        <v>7.563628</v>
      </c>
      <c r="S68" s="32">
        <v>195.092212</v>
      </c>
      <c r="T68" s="63">
        <v>267.14905</v>
      </c>
      <c r="U68" s="33"/>
      <c r="V68" s="63">
        <v>111.944492</v>
      </c>
      <c r="W68" s="63">
        <v>20</v>
      </c>
      <c r="X68" s="63">
        <v>12.869372</v>
      </c>
      <c r="Y68" s="63">
        <v>156.916814</v>
      </c>
      <c r="Z68" s="50">
        <v>6.542489</v>
      </c>
    </row>
    <row r="69" spans="1:26">
      <c r="A69" s="30"/>
      <c r="B69" s="31">
        <v>25</v>
      </c>
      <c r="C69" s="32">
        <v>225.57537</v>
      </c>
      <c r="D69" s="33">
        <v>305.447264</v>
      </c>
      <c r="E69" s="33"/>
      <c r="F69" s="33">
        <v>49.33704</v>
      </c>
      <c r="G69" s="33">
        <v>25</v>
      </c>
      <c r="H69" s="33">
        <v>21.426759</v>
      </c>
      <c r="I69" s="33">
        <v>261.257409</v>
      </c>
      <c r="J69" s="50">
        <v>10.892865</v>
      </c>
      <c r="K69" s="32">
        <v>225.57537</v>
      </c>
      <c r="L69" s="33">
        <v>305.447264</v>
      </c>
      <c r="M69" s="33"/>
      <c r="N69" s="33">
        <v>81.167389</v>
      </c>
      <c r="O69" s="33">
        <v>25</v>
      </c>
      <c r="P69" s="33">
        <v>19.121443</v>
      </c>
      <c r="Q69" s="33">
        <v>233.148584</v>
      </c>
      <c r="R69" s="50">
        <v>9.720896</v>
      </c>
      <c r="S69" s="32">
        <v>225.57537</v>
      </c>
      <c r="T69" s="63">
        <v>305.447264</v>
      </c>
      <c r="U69" s="33"/>
      <c r="V69" s="63">
        <v>112.997738</v>
      </c>
      <c r="W69" s="63">
        <v>25</v>
      </c>
      <c r="X69" s="63">
        <v>16.816126</v>
      </c>
      <c r="Y69" s="63">
        <v>205.039759</v>
      </c>
      <c r="Z69" s="50">
        <v>8.548927</v>
      </c>
    </row>
    <row r="70" spans="1:26">
      <c r="A70" s="30"/>
      <c r="B70" s="31">
        <v>30</v>
      </c>
      <c r="C70" s="32">
        <v>256.058528</v>
      </c>
      <c r="D70" s="33">
        <v>343.745025</v>
      </c>
      <c r="E70" s="33"/>
      <c r="F70" s="33">
        <v>49.800298</v>
      </c>
      <c r="G70" s="33">
        <v>30</v>
      </c>
      <c r="H70" s="33">
        <v>25.963502</v>
      </c>
      <c r="I70" s="33">
        <v>316.57411</v>
      </c>
      <c r="J70" s="50">
        <v>13.199239</v>
      </c>
      <c r="K70" s="32">
        <v>256.058528</v>
      </c>
      <c r="L70" s="33">
        <v>343.745025</v>
      </c>
      <c r="M70" s="33"/>
      <c r="N70" s="33">
        <v>81.929522</v>
      </c>
      <c r="O70" s="33">
        <v>30</v>
      </c>
      <c r="P70" s="33">
        <v>23.35931</v>
      </c>
      <c r="Q70" s="33">
        <v>284.821081</v>
      </c>
      <c r="R70" s="50">
        <v>11.875328</v>
      </c>
      <c r="S70" s="32">
        <v>256.058528</v>
      </c>
      <c r="T70" s="63">
        <v>343.745025</v>
      </c>
      <c r="U70" s="33"/>
      <c r="V70" s="63">
        <v>114.058746</v>
      </c>
      <c r="W70" s="63">
        <v>30</v>
      </c>
      <c r="X70" s="63">
        <v>20.755118</v>
      </c>
      <c r="Y70" s="63">
        <v>253.068052</v>
      </c>
      <c r="Z70" s="50">
        <v>10.551418</v>
      </c>
    </row>
    <row r="71" spans="1:26">
      <c r="A71" s="30"/>
      <c r="B71" s="31">
        <v>35</v>
      </c>
      <c r="C71" s="32">
        <v>286.541686</v>
      </c>
      <c r="D71" s="33">
        <v>382.042339</v>
      </c>
      <c r="E71" s="33"/>
      <c r="F71" s="33">
        <v>50.266944</v>
      </c>
      <c r="G71" s="33">
        <v>35</v>
      </c>
      <c r="H71" s="33">
        <v>30.496855</v>
      </c>
      <c r="I71" s="33">
        <v>371.849484</v>
      </c>
      <c r="J71" s="50">
        <v>15.50389</v>
      </c>
      <c r="K71" s="32">
        <v>286.541686</v>
      </c>
      <c r="L71" s="33">
        <v>382.042339</v>
      </c>
      <c r="M71" s="33"/>
      <c r="N71" s="33">
        <v>82.697231</v>
      </c>
      <c r="O71" s="33">
        <v>35</v>
      </c>
      <c r="P71" s="33">
        <v>27.591601</v>
      </c>
      <c r="Q71" s="33">
        <v>336.425589</v>
      </c>
      <c r="R71" s="50">
        <v>14.026927</v>
      </c>
      <c r="S71" s="32">
        <v>286.541686</v>
      </c>
      <c r="T71" s="63">
        <v>382.042339</v>
      </c>
      <c r="U71" s="33"/>
      <c r="V71" s="63">
        <v>115.127518</v>
      </c>
      <c r="W71" s="63">
        <v>35</v>
      </c>
      <c r="X71" s="63">
        <v>24.686346</v>
      </c>
      <c r="Y71" s="63">
        <v>301.001694</v>
      </c>
      <c r="Z71" s="50">
        <v>12.549963</v>
      </c>
    </row>
    <row r="72" spans="1:26">
      <c r="A72" s="30"/>
      <c r="B72" s="31">
        <v>40</v>
      </c>
      <c r="C72" s="32">
        <v>317.024844</v>
      </c>
      <c r="D72" s="33">
        <v>420.339211</v>
      </c>
      <c r="E72" s="33"/>
      <c r="F72" s="33">
        <v>50.73698</v>
      </c>
      <c r="G72" s="33">
        <v>40</v>
      </c>
      <c r="H72" s="33">
        <v>35.02682</v>
      </c>
      <c r="I72" s="33">
        <v>427.083533</v>
      </c>
      <c r="J72" s="50">
        <v>17.806818</v>
      </c>
      <c r="K72" s="32">
        <v>317.024844</v>
      </c>
      <c r="L72" s="33">
        <v>420.339211</v>
      </c>
      <c r="M72" s="33"/>
      <c r="N72" s="33">
        <v>83.470516</v>
      </c>
      <c r="O72" s="33">
        <v>40</v>
      </c>
      <c r="P72" s="33">
        <v>31.818316</v>
      </c>
      <c r="Q72" s="33">
        <v>387.96211</v>
      </c>
      <c r="R72" s="50">
        <v>16.17569</v>
      </c>
      <c r="S72" s="32">
        <v>317.024844</v>
      </c>
      <c r="T72" s="63">
        <v>420.339211</v>
      </c>
      <c r="U72" s="33"/>
      <c r="V72" s="63">
        <v>116.204051</v>
      </c>
      <c r="W72" s="63">
        <v>40</v>
      </c>
      <c r="X72" s="63">
        <v>28.609812</v>
      </c>
      <c r="Y72" s="63">
        <v>348.840687</v>
      </c>
      <c r="Z72" s="50">
        <v>14.544562</v>
      </c>
    </row>
    <row r="73" spans="1:26">
      <c r="A73" s="30"/>
      <c r="B73" s="31">
        <v>45</v>
      </c>
      <c r="C73" s="32">
        <v>347.508002</v>
      </c>
      <c r="D73" s="33">
        <v>458.635648</v>
      </c>
      <c r="E73" s="33"/>
      <c r="F73" s="33">
        <v>51.210405</v>
      </c>
      <c r="G73" s="33">
        <v>45</v>
      </c>
      <c r="H73" s="33">
        <v>39.553394</v>
      </c>
      <c r="I73" s="33">
        <v>482.276257</v>
      </c>
      <c r="J73" s="50">
        <v>20.108023</v>
      </c>
      <c r="K73" s="32">
        <v>347.508002</v>
      </c>
      <c r="L73" s="33">
        <v>458.635648</v>
      </c>
      <c r="M73" s="33"/>
      <c r="N73" s="33">
        <v>84.249377</v>
      </c>
      <c r="O73" s="33">
        <v>45</v>
      </c>
      <c r="P73" s="33">
        <v>36.039455</v>
      </c>
      <c r="Q73" s="33">
        <v>439.430644</v>
      </c>
      <c r="R73" s="50">
        <v>18.321619</v>
      </c>
      <c r="S73" s="32">
        <v>347.508002</v>
      </c>
      <c r="T73" s="63">
        <v>458.635648</v>
      </c>
      <c r="U73" s="33"/>
      <c r="V73" s="63">
        <v>117.288348</v>
      </c>
      <c r="W73" s="63">
        <v>45</v>
      </c>
      <c r="X73" s="63">
        <v>32.525516</v>
      </c>
      <c r="Y73" s="63">
        <v>396.585031</v>
      </c>
      <c r="Z73" s="50">
        <v>16.535214</v>
      </c>
    </row>
    <row r="74" spans="1:26">
      <c r="A74" s="34"/>
      <c r="B74" s="35">
        <v>50</v>
      </c>
      <c r="C74" s="36">
        <v>377.99116</v>
      </c>
      <c r="D74" s="37">
        <v>496.931655</v>
      </c>
      <c r="E74" s="37"/>
      <c r="F74" s="37">
        <v>51.68722</v>
      </c>
      <c r="G74" s="37">
        <v>50</v>
      </c>
      <c r="H74" s="37">
        <v>44.07658</v>
      </c>
      <c r="I74" s="64">
        <v>537.427656</v>
      </c>
      <c r="J74" s="53">
        <v>22.407506</v>
      </c>
      <c r="K74" s="36">
        <v>377.99116</v>
      </c>
      <c r="L74" s="37">
        <v>496.931655</v>
      </c>
      <c r="M74" s="37"/>
      <c r="N74" s="37">
        <v>85.033813</v>
      </c>
      <c r="O74" s="37">
        <v>50</v>
      </c>
      <c r="P74" s="37">
        <v>40.255019</v>
      </c>
      <c r="Q74" s="37">
        <v>490.831192</v>
      </c>
      <c r="R74" s="53">
        <v>20.464713</v>
      </c>
      <c r="S74" s="36">
        <v>377.99116</v>
      </c>
      <c r="T74" s="37">
        <v>496.931655</v>
      </c>
      <c r="U74" s="37"/>
      <c r="V74" s="37">
        <v>118.380407</v>
      </c>
      <c r="W74" s="37">
        <v>50</v>
      </c>
      <c r="X74" s="37">
        <v>36.433457</v>
      </c>
      <c r="Y74" s="37">
        <v>444.234729</v>
      </c>
      <c r="Z74" s="53">
        <v>18.52192</v>
      </c>
    </row>
    <row r="75" ht="27" customHeight="1" spans="1:26">
      <c r="A75" s="24"/>
      <c r="B75" s="25"/>
      <c r="C75" s="22" t="s">
        <v>32</v>
      </c>
      <c r="D75" s="23"/>
      <c r="E75" s="23"/>
      <c r="F75" s="23"/>
      <c r="G75" s="23"/>
      <c r="H75" s="23"/>
      <c r="I75" s="23"/>
      <c r="J75" s="49"/>
      <c r="K75" s="22" t="s">
        <v>33</v>
      </c>
      <c r="L75" s="23"/>
      <c r="M75" s="23"/>
      <c r="N75" s="23"/>
      <c r="O75" s="23"/>
      <c r="P75" s="23"/>
      <c r="Q75" s="23"/>
      <c r="R75" s="49"/>
      <c r="S75" s="22" t="s">
        <v>34</v>
      </c>
      <c r="T75" s="23"/>
      <c r="U75" s="23"/>
      <c r="V75" s="23"/>
      <c r="W75" s="23"/>
      <c r="X75" s="23"/>
      <c r="Y75" s="23"/>
      <c r="Z75" s="49"/>
    </row>
    <row r="76" spans="1:26">
      <c r="A76" s="38" t="s">
        <v>35</v>
      </c>
      <c r="B76" s="39">
        <v>5</v>
      </c>
      <c r="C76" s="40">
        <v>103.642737</v>
      </c>
      <c r="D76" s="41">
        <v>152.151576</v>
      </c>
      <c r="E76" s="41">
        <v>33.958109</v>
      </c>
      <c r="F76" s="41">
        <v>35.304977</v>
      </c>
      <c r="G76" s="41">
        <v>5</v>
      </c>
      <c r="H76" s="41">
        <v>3.653132</v>
      </c>
      <c r="I76" s="41">
        <v>45.505328</v>
      </c>
      <c r="J76" s="54">
        <v>1.897299</v>
      </c>
      <c r="K76" s="40">
        <v>103.642737</v>
      </c>
      <c r="L76" s="41">
        <v>152.151576</v>
      </c>
      <c r="M76" s="41">
        <v>62.858627</v>
      </c>
      <c r="N76" s="41">
        <v>65.351765</v>
      </c>
      <c r="O76" s="41">
        <v>5</v>
      </c>
      <c r="P76" s="41">
        <v>2.506862</v>
      </c>
      <c r="Q76" s="41">
        <v>31.226782</v>
      </c>
      <c r="R76" s="54">
        <v>1.301969</v>
      </c>
      <c r="S76" s="40">
        <v>103.642737</v>
      </c>
      <c r="T76" s="65">
        <v>152.151576</v>
      </c>
      <c r="U76" s="41">
        <v>91.759145</v>
      </c>
      <c r="V76" s="65">
        <v>95.398554</v>
      </c>
      <c r="W76" s="65">
        <v>5</v>
      </c>
      <c r="X76" s="65">
        <v>1.360591</v>
      </c>
      <c r="Y76" s="65">
        <v>16.948236</v>
      </c>
      <c r="Z76" s="54">
        <v>0.70664</v>
      </c>
    </row>
    <row r="77" spans="1:26">
      <c r="A77" s="42"/>
      <c r="B77" s="39">
        <v>10</v>
      </c>
      <c r="C77" s="40">
        <v>134.125895</v>
      </c>
      <c r="D77" s="41">
        <v>191.052763</v>
      </c>
      <c r="E77" s="41"/>
      <c r="F77" s="41">
        <v>35.656123</v>
      </c>
      <c r="G77" s="41">
        <v>10</v>
      </c>
      <c r="H77" s="41">
        <v>8.301986</v>
      </c>
      <c r="I77" s="41">
        <v>103.413891</v>
      </c>
      <c r="J77" s="54">
        <v>4.311738</v>
      </c>
      <c r="K77" s="40">
        <v>134.125895</v>
      </c>
      <c r="L77" s="41">
        <v>191.052763</v>
      </c>
      <c r="M77" s="41"/>
      <c r="N77" s="41">
        <v>66.001759</v>
      </c>
      <c r="O77" s="41">
        <v>10</v>
      </c>
      <c r="P77" s="41">
        <v>6.856868</v>
      </c>
      <c r="Q77" s="41">
        <v>85.412743</v>
      </c>
      <c r="R77" s="54">
        <v>3.561198</v>
      </c>
      <c r="S77" s="40">
        <v>134.125895</v>
      </c>
      <c r="T77" s="65">
        <v>191.052763</v>
      </c>
      <c r="U77" s="41"/>
      <c r="V77" s="65">
        <v>96.347395</v>
      </c>
      <c r="W77" s="65">
        <v>10</v>
      </c>
      <c r="X77" s="65">
        <v>5.41175</v>
      </c>
      <c r="Y77" s="65">
        <v>67.411594</v>
      </c>
      <c r="Z77" s="54">
        <v>2.810659</v>
      </c>
    </row>
    <row r="78" spans="1:26">
      <c r="A78" s="42"/>
      <c r="B78" s="39">
        <v>15</v>
      </c>
      <c r="C78" s="40">
        <v>164.609053</v>
      </c>
      <c r="D78" s="41">
        <v>229.359314</v>
      </c>
      <c r="E78" s="41"/>
      <c r="F78" s="41">
        <v>36.004602</v>
      </c>
      <c r="G78" s="41">
        <v>15</v>
      </c>
      <c r="H78" s="41">
        <v>12.953507</v>
      </c>
      <c r="I78" s="41">
        <v>161.355673</v>
      </c>
      <c r="J78" s="54">
        <v>6.727562</v>
      </c>
      <c r="K78" s="40">
        <v>164.609053</v>
      </c>
      <c r="L78" s="41">
        <v>229.359314</v>
      </c>
      <c r="M78" s="41"/>
      <c r="N78" s="41">
        <v>66.646816</v>
      </c>
      <c r="O78" s="41">
        <v>15</v>
      </c>
      <c r="P78" s="41">
        <v>11.211811</v>
      </c>
      <c r="Q78" s="41">
        <v>139.660193</v>
      </c>
      <c r="R78" s="54">
        <v>5.822991</v>
      </c>
      <c r="S78" s="40">
        <v>164.609053</v>
      </c>
      <c r="T78" s="65">
        <v>229.359314</v>
      </c>
      <c r="U78" s="41"/>
      <c r="V78" s="65">
        <v>97.28903</v>
      </c>
      <c r="W78" s="65">
        <v>15</v>
      </c>
      <c r="X78" s="65">
        <v>9.470115</v>
      </c>
      <c r="Y78" s="65">
        <v>117.964713</v>
      </c>
      <c r="Z78" s="54">
        <v>4.91842</v>
      </c>
    </row>
    <row r="79" spans="1:26">
      <c r="A79" s="42"/>
      <c r="B79" s="39">
        <v>20</v>
      </c>
      <c r="C79" s="40">
        <v>195.092212</v>
      </c>
      <c r="D79" s="41">
        <v>267.662292</v>
      </c>
      <c r="E79" s="41"/>
      <c r="F79" s="41">
        <v>36.355728</v>
      </c>
      <c r="G79" s="41">
        <v>20</v>
      </c>
      <c r="H79" s="41">
        <v>17.602381</v>
      </c>
      <c r="I79" s="41">
        <v>219.26448</v>
      </c>
      <c r="J79" s="54">
        <v>9.142012</v>
      </c>
      <c r="K79" s="40">
        <v>195.092212</v>
      </c>
      <c r="L79" s="41">
        <v>267.662292</v>
      </c>
      <c r="M79" s="41"/>
      <c r="N79" s="41">
        <v>67.296773</v>
      </c>
      <c r="O79" s="41">
        <v>20</v>
      </c>
      <c r="P79" s="41">
        <v>15.561854</v>
      </c>
      <c r="Q79" s="41">
        <v>193.846606</v>
      </c>
      <c r="R79" s="54">
        <v>8.082239</v>
      </c>
      <c r="S79" s="40">
        <v>195.092212</v>
      </c>
      <c r="T79" s="65">
        <v>267.662292</v>
      </c>
      <c r="U79" s="41"/>
      <c r="V79" s="65">
        <v>98.237818</v>
      </c>
      <c r="W79" s="65">
        <v>20</v>
      </c>
      <c r="X79" s="65">
        <v>13.521327</v>
      </c>
      <c r="Y79" s="65">
        <v>168.428733</v>
      </c>
      <c r="Z79" s="54">
        <v>7.022467</v>
      </c>
    </row>
    <row r="80" spans="1:26">
      <c r="A80" s="42"/>
      <c r="B80" s="39">
        <v>25</v>
      </c>
      <c r="C80" s="40">
        <v>225.57537</v>
      </c>
      <c r="D80" s="41">
        <v>305.964785</v>
      </c>
      <c r="E80" s="41"/>
      <c r="F80" s="41">
        <v>36.709529</v>
      </c>
      <c r="G80" s="41">
        <v>25</v>
      </c>
      <c r="H80" s="41">
        <v>22.248579</v>
      </c>
      <c r="I80" s="41">
        <v>277.139966</v>
      </c>
      <c r="J80" s="54">
        <v>11.555072</v>
      </c>
      <c r="K80" s="40">
        <v>225.57537</v>
      </c>
      <c r="L80" s="41">
        <v>305.964785</v>
      </c>
      <c r="M80" s="41"/>
      <c r="N80" s="41">
        <v>67.951682</v>
      </c>
      <c r="O80" s="41">
        <v>25</v>
      </c>
      <c r="P80" s="41">
        <v>19.906945</v>
      </c>
      <c r="Q80" s="41">
        <v>247.97134</v>
      </c>
      <c r="R80" s="54">
        <v>10.338916</v>
      </c>
      <c r="S80" s="40">
        <v>225.57537</v>
      </c>
      <c r="T80" s="65">
        <v>305.964785</v>
      </c>
      <c r="U80" s="41"/>
      <c r="V80" s="65">
        <v>99.193834</v>
      </c>
      <c r="W80" s="65">
        <v>25</v>
      </c>
      <c r="X80" s="65">
        <v>17.565311</v>
      </c>
      <c r="Y80" s="65">
        <v>218.802714</v>
      </c>
      <c r="Z80" s="54">
        <v>9.122759</v>
      </c>
    </row>
    <row r="81" spans="1:26">
      <c r="A81" s="42"/>
      <c r="B81" s="39">
        <v>30</v>
      </c>
      <c r="C81" s="40">
        <v>256.058528</v>
      </c>
      <c r="D81" s="41">
        <v>344.266815</v>
      </c>
      <c r="E81" s="41"/>
      <c r="F81" s="41">
        <v>37.066006</v>
      </c>
      <c r="G81" s="41">
        <v>30</v>
      </c>
      <c r="H81" s="41">
        <v>26.892103</v>
      </c>
      <c r="I81" s="41">
        <v>334.98213</v>
      </c>
      <c r="J81" s="54">
        <v>13.966743</v>
      </c>
      <c r="K81" s="40">
        <v>256.058528</v>
      </c>
      <c r="L81" s="41">
        <v>344.266815</v>
      </c>
      <c r="M81" s="41"/>
      <c r="N81" s="41">
        <v>68.611542</v>
      </c>
      <c r="O81" s="41">
        <v>30</v>
      </c>
      <c r="P81" s="41">
        <v>24.247084</v>
      </c>
      <c r="Q81" s="41">
        <v>302.034392</v>
      </c>
      <c r="R81" s="54">
        <v>12.59302</v>
      </c>
      <c r="S81" s="40">
        <v>256.058528</v>
      </c>
      <c r="T81" s="65">
        <v>344.266815</v>
      </c>
      <c r="U81" s="41"/>
      <c r="V81" s="65">
        <v>100.157079</v>
      </c>
      <c r="W81" s="65">
        <v>30</v>
      </c>
      <c r="X81" s="65">
        <v>21.602066</v>
      </c>
      <c r="Y81" s="65">
        <v>269.086653</v>
      </c>
      <c r="Z81" s="54">
        <v>11.219297</v>
      </c>
    </row>
    <row r="82" spans="1:26">
      <c r="A82" s="42"/>
      <c r="B82" s="39">
        <v>35</v>
      </c>
      <c r="C82" s="40">
        <v>286.541686</v>
      </c>
      <c r="D82" s="41">
        <v>382.568388</v>
      </c>
      <c r="E82" s="41"/>
      <c r="F82" s="41">
        <v>37.425157</v>
      </c>
      <c r="G82" s="41">
        <v>35</v>
      </c>
      <c r="H82" s="41">
        <v>31.532952</v>
      </c>
      <c r="I82" s="67">
        <v>392.790972</v>
      </c>
      <c r="J82" s="54">
        <v>16.377024</v>
      </c>
      <c r="K82" s="40">
        <v>286.541686</v>
      </c>
      <c r="L82" s="41">
        <v>382.568388</v>
      </c>
      <c r="M82" s="41"/>
      <c r="N82" s="41">
        <v>69.276355</v>
      </c>
      <c r="O82" s="41">
        <v>35</v>
      </c>
      <c r="P82" s="41">
        <v>28.582272</v>
      </c>
      <c r="Q82" s="41">
        <v>356.035762</v>
      </c>
      <c r="R82" s="54">
        <v>14.844553</v>
      </c>
      <c r="S82" s="40">
        <v>286.541686</v>
      </c>
      <c r="T82" s="65">
        <v>382.568388</v>
      </c>
      <c r="U82" s="41"/>
      <c r="V82" s="65">
        <v>101.127552</v>
      </c>
      <c r="W82" s="65">
        <v>35</v>
      </c>
      <c r="X82" s="65">
        <v>25.631593</v>
      </c>
      <c r="Y82" s="65">
        <v>319.280552</v>
      </c>
      <c r="Z82" s="54">
        <v>13.312081</v>
      </c>
    </row>
    <row r="83" spans="1:26">
      <c r="A83" s="42"/>
      <c r="B83" s="39">
        <v>40</v>
      </c>
      <c r="C83" s="40">
        <v>317.024844</v>
      </c>
      <c r="D83" s="41">
        <v>420.86951</v>
      </c>
      <c r="E83" s="41"/>
      <c r="F83" s="41">
        <v>37.786984</v>
      </c>
      <c r="G83" s="41">
        <v>37.786984</v>
      </c>
      <c r="H83" s="41">
        <v>33.958109</v>
      </c>
      <c r="I83" s="56">
        <v>423</v>
      </c>
      <c r="J83" s="54">
        <v>17.63656</v>
      </c>
      <c r="K83" s="40">
        <v>317.024844</v>
      </c>
      <c r="L83" s="41">
        <v>420.86951</v>
      </c>
      <c r="M83" s="41"/>
      <c r="N83" s="41">
        <v>69.946119</v>
      </c>
      <c r="O83" s="41">
        <v>40</v>
      </c>
      <c r="P83" s="41">
        <v>32.912508</v>
      </c>
      <c r="Q83" s="41">
        <v>409.975452</v>
      </c>
      <c r="R83" s="54">
        <v>17.093514</v>
      </c>
      <c r="S83" s="40">
        <v>317.024844</v>
      </c>
      <c r="T83" s="65">
        <v>420.86951</v>
      </c>
      <c r="U83" s="41"/>
      <c r="V83" s="65">
        <v>102.105254</v>
      </c>
      <c r="W83" s="65">
        <v>40</v>
      </c>
      <c r="X83" s="65">
        <v>29.653891</v>
      </c>
      <c r="Y83" s="65">
        <v>369.384412</v>
      </c>
      <c r="Z83" s="54">
        <v>15.401112</v>
      </c>
    </row>
    <row r="84" spans="1:26">
      <c r="A84" s="42"/>
      <c r="B84" s="39">
        <v>45</v>
      </c>
      <c r="C84" s="40">
        <v>347.508002</v>
      </c>
      <c r="D84" s="41">
        <v>459.170187</v>
      </c>
      <c r="E84" s="41"/>
      <c r="F84" s="41">
        <v>38.151485</v>
      </c>
      <c r="G84" s="41">
        <v>38.151485</v>
      </c>
      <c r="H84" s="41">
        <v>33.958109</v>
      </c>
      <c r="I84" s="56">
        <v>423</v>
      </c>
      <c r="J84" s="54">
        <v>17.63656</v>
      </c>
      <c r="K84" s="40">
        <v>347.508002</v>
      </c>
      <c r="L84" s="41">
        <v>459.170187</v>
      </c>
      <c r="M84" s="41"/>
      <c r="N84" s="41">
        <v>70.620834</v>
      </c>
      <c r="O84" s="41">
        <v>45</v>
      </c>
      <c r="P84" s="41">
        <v>37.237793</v>
      </c>
      <c r="Q84" s="41">
        <v>463.853463</v>
      </c>
      <c r="R84" s="54">
        <v>19.339904</v>
      </c>
      <c r="S84" s="40">
        <v>347.508002</v>
      </c>
      <c r="T84" s="65">
        <v>459.170187</v>
      </c>
      <c r="U84" s="41"/>
      <c r="V84" s="65">
        <v>103.090183</v>
      </c>
      <c r="W84" s="65">
        <v>45</v>
      </c>
      <c r="X84" s="65">
        <v>33.668962</v>
      </c>
      <c r="Y84" s="65">
        <v>419.398235</v>
      </c>
      <c r="Z84" s="54">
        <v>17.486388</v>
      </c>
    </row>
    <row r="85" spans="1:26">
      <c r="A85" s="43"/>
      <c r="B85" s="44">
        <v>50</v>
      </c>
      <c r="C85" s="45">
        <v>377.99116</v>
      </c>
      <c r="D85" s="46">
        <v>497.470423</v>
      </c>
      <c r="E85" s="46"/>
      <c r="F85" s="46">
        <v>38.518661</v>
      </c>
      <c r="G85" s="46">
        <v>38.518661</v>
      </c>
      <c r="H85" s="46">
        <v>33.958109</v>
      </c>
      <c r="I85" s="57">
        <v>423</v>
      </c>
      <c r="J85" s="58">
        <v>17.63656</v>
      </c>
      <c r="K85" s="45">
        <v>377.99116</v>
      </c>
      <c r="L85" s="46">
        <v>497.470423</v>
      </c>
      <c r="M85" s="46"/>
      <c r="N85" s="46">
        <v>71.300501</v>
      </c>
      <c r="O85" s="46">
        <v>50</v>
      </c>
      <c r="P85" s="46">
        <v>41.558126</v>
      </c>
      <c r="Q85" s="46">
        <v>517.669795</v>
      </c>
      <c r="R85" s="58">
        <v>21.583721</v>
      </c>
      <c r="S85" s="45">
        <v>377.99116</v>
      </c>
      <c r="T85" s="46">
        <v>497.470423</v>
      </c>
      <c r="U85" s="46"/>
      <c r="V85" s="46">
        <v>104.082341</v>
      </c>
      <c r="W85" s="46">
        <v>50</v>
      </c>
      <c r="X85" s="46">
        <v>37.676804</v>
      </c>
      <c r="Y85" s="46">
        <v>469.322021</v>
      </c>
      <c r="Z85" s="58">
        <v>19.56791</v>
      </c>
    </row>
  </sheetData>
  <mergeCells count="54">
    <mergeCell ref="A7:B7"/>
    <mergeCell ref="C8:Z8"/>
    <mergeCell ref="C9:J9"/>
    <mergeCell ref="K9:R9"/>
    <mergeCell ref="S9:Z9"/>
    <mergeCell ref="C21:J21"/>
    <mergeCell ref="K21:R21"/>
    <mergeCell ref="S21:Z21"/>
    <mergeCell ref="A34:B34"/>
    <mergeCell ref="C35:Z35"/>
    <mergeCell ref="C36:J36"/>
    <mergeCell ref="K36:R36"/>
    <mergeCell ref="S36:Z36"/>
    <mergeCell ref="C48:J48"/>
    <mergeCell ref="K48:R48"/>
    <mergeCell ref="S48:Z48"/>
    <mergeCell ref="A61:B61"/>
    <mergeCell ref="C62:Z62"/>
    <mergeCell ref="C63:J63"/>
    <mergeCell ref="K63:R63"/>
    <mergeCell ref="S63:Z63"/>
    <mergeCell ref="C75:J75"/>
    <mergeCell ref="K75:R75"/>
    <mergeCell ref="S75:Z75"/>
    <mergeCell ref="A8:A10"/>
    <mergeCell ref="A11:A20"/>
    <mergeCell ref="A22:A31"/>
    <mergeCell ref="A35:A37"/>
    <mergeCell ref="A38:A47"/>
    <mergeCell ref="A49:A58"/>
    <mergeCell ref="A62:A64"/>
    <mergeCell ref="A65:A74"/>
    <mergeCell ref="A76:A85"/>
    <mergeCell ref="B8:B9"/>
    <mergeCell ref="B35:B36"/>
    <mergeCell ref="B62:B63"/>
    <mergeCell ref="E11:E20"/>
    <mergeCell ref="E22:E31"/>
    <mergeCell ref="E38:E47"/>
    <mergeCell ref="E49:E58"/>
    <mergeCell ref="E65:E74"/>
    <mergeCell ref="E76:E85"/>
    <mergeCell ref="M11:M20"/>
    <mergeCell ref="M22:M31"/>
    <mergeCell ref="M38:M47"/>
    <mergeCell ref="M49:M58"/>
    <mergeCell ref="M65:M74"/>
    <mergeCell ref="M76:M85"/>
    <mergeCell ref="U11:U20"/>
    <mergeCell ref="U22:U31"/>
    <mergeCell ref="U38:U47"/>
    <mergeCell ref="U49:U58"/>
    <mergeCell ref="U65:U74"/>
    <mergeCell ref="U76:U8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2025-11-09T16:29:46Z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384193DA38FB46339DA381B3EE611B35_12</vt:lpwstr>
  </property>
  <property fmtid="{D5CDD505-2E9C-101B-9397-08002B2CF9AE}" pid="3" name="KSOProductBuildVer">
    <vt:lpwstr>1033-12.2.0.23155</vt:lpwstr>
  </property>
  <property fmtid="{D5CDD505-2E9C-101B-9397-08002B2CF9AE}" pid="4" name="KSOReadingLayout">
    <vt:bool>false</vt:bool>
  </property>
</Properties>
</file>