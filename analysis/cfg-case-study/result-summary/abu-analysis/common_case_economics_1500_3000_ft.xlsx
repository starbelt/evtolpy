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894" firstSheet="1" activeTab="2"/>
  </bookViews>
  <sheets>
    <sheet name="Baseline (c-rate; 0-100)" sheetId="1" r:id="rId1"/>
    <sheet name="Baseline (charger; 0-100)" sheetId="2" r:id="rId2"/>
    <sheet name="Baseline (charger; reserve-100)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<sst xmlns="http://schemas.openxmlformats.org/spreadsheetml/2006/main" count="174" uniqueCount="49">
  <si>
    <t>Assumptions:</t>
  </si>
  <si>
    <t>Charger AC power [kW]</t>
  </si>
  <si>
    <t>Charger efficiency</t>
  </si>
  <si>
    <t>Max allowed charge C-rate
[C]</t>
  </si>
  <si>
    <t>Nominal pack voltage 
[V]</t>
  </si>
  <si>
    <t>CV termination current ratio</t>
  </si>
  <si>
    <t>Initial SOC</t>
  </si>
  <si>
    <t>Target full charge</t>
  </si>
  <si>
    <t>SOC at CC to CV transition</t>
  </si>
  <si>
    <t>Ground turnaround time 
[hr]</t>
  </si>
  <si>
    <t>Parameters</t>
  </si>
  <si>
    <t>P_charger_ac_kw</t>
  </si>
  <si>
    <t>eta_charger_dc</t>
  </si>
  <si>
    <t>c_rate_max</t>
  </si>
  <si>
    <t>v_pack_nom_v</t>
  </si>
  <si>
    <t>i_term_c</t>
  </si>
  <si>
    <t>soc_start</t>
  </si>
  <si>
    <t>soc_target</t>
  </si>
  <si>
    <t>soc_cc_end</t>
  </si>
  <si>
    <t>t_ground_ops_hr</t>
  </si>
  <si>
    <t>Value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</si>
  <si>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</si>
  <si>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t_cycle_hr = t_flight_hr + t_charge_hr + t_ground_ops_hr</t>
  </si>
  <si>
    <t>Archer Midnight</t>
  </si>
  <si>
    <t>Altitude
(ft)</t>
  </si>
  <si>
    <t>Mission Range
(miles)</t>
  </si>
  <si>
    <t>E_mission_kwh</t>
  </si>
  <si>
    <t>E_pack_kwh</t>
  </si>
  <si>
    <t>dod</t>
  </si>
  <si>
    <t>t_flight_hr</t>
  </si>
  <si>
    <t>t_charge_hr</t>
  </si>
  <si>
    <t>t_cc_hr</t>
  </si>
  <si>
    <t>t_cv_hr</t>
  </si>
  <si>
    <t>t_cycle_hr</t>
  </si>
  <si>
    <t>n_feasible_flights</t>
  </si>
  <si>
    <t>t_flight_day_hr</t>
  </si>
  <si>
    <t>t_downtime_day_hr</t>
  </si>
  <si>
    <t>P_dc_kw</t>
  </si>
  <si>
    <t>P_cc_cap_kw</t>
  </si>
  <si>
    <t>P_cc_kw</t>
  </si>
  <si>
    <t>Joby S-4</t>
  </si>
  <si>
    <t>Supernal S-A2</t>
  </si>
  <si>
    <t>max allowed charge C-rate
[C]</t>
  </si>
  <si>
    <t>None</t>
  </si>
  <si>
    <r>
      <rPr>
        <b/>
        <u/>
        <sz val="11"/>
        <rFont val="Calibri"/>
        <charset val="134"/>
        <scheme val="minor"/>
      </rPr>
      <t>Note</t>
    </r>
    <r>
      <rPr>
        <b/>
        <sz val="11"/>
        <rFont val="Calibri"/>
        <charset val="134"/>
        <scheme val="minor"/>
      </rPr>
      <t>:</t>
    </r>
  </si>
  <si>
    <t>charger_limit_indicator_flag</t>
  </si>
  <si>
    <t>charger_limited</t>
  </si>
  <si>
    <t>Reserve energy</t>
  </si>
  <si>
    <t>soc_start = E_reserve_kwh / E_total_kwh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</si>
</sst>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u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9" fontId="2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8" fontId="3" fillId="0" borderId="3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8" fontId="3" fillId="2" borderId="3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8" fontId="3" fillId="0" borderId="9" xfId="0" applyNumberFormat="1" applyFont="1" applyFill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78" fontId="3" fillId="2" borderId="4" xfId="0" applyNumberFormat="1" applyFont="1" applyFill="1" applyBorder="1" applyAlignment="1">
      <alignment horizontal="center" vertical="center" wrapText="1"/>
    </xf>
    <xf numFmtId="178" fontId="3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78" fontId="3" fillId="0" borderId="0" xfId="0" applyNumberFormat="1" applyFont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9" fontId="3" fillId="0" borderId="5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79" fontId="0" fillId="0" borderId="0" xfId="0" applyNumberFormat="1" applyAlignment="1">
      <alignment horizontal="left" vertical="center"/>
    </xf>
    <xf numFmtId="17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9" fontId="2" fillId="0" borderId="0" xfId="0" applyNumberFormat="1" applyFont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9" fontId="2" fillId="2" borderId="0" xfId="0" applyNumberFormat="1" applyFont="1" applyFill="1" applyAlignment="1">
      <alignment horizontal="center" vertical="center" wrapText="1"/>
    </xf>
    <xf numFmtId="179" fontId="2" fillId="3" borderId="0" xfId="0" applyNumberFormat="1" applyFont="1" applyFill="1" applyBorder="1" applyAlignment="1">
      <alignment horizontal="center" vertical="center" wrapText="1"/>
    </xf>
    <xf numFmtId="179" fontId="2" fillId="0" borderId="10" xfId="0" applyNumberFormat="1" applyFont="1" applyBorder="1" applyAlignment="1">
      <alignment horizontal="center" vertical="center" wrapText="1"/>
    </xf>
    <xf numFmtId="179" fontId="2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178" fontId="3" fillId="0" borderId="12" xfId="0" applyNumberFormat="1" applyFont="1" applyBorder="1" applyAlignment="1">
      <alignment horizontal="center" vertical="center" wrapText="1"/>
    </xf>
    <xf numFmtId="178" fontId="3" fillId="2" borderId="12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178" fontId="3" fillId="0" borderId="14" xfId="0" applyNumberFormat="1" applyFont="1" applyBorder="1" applyAlignment="1">
      <alignment horizontal="center" vertical="center" wrapText="1"/>
    </xf>
    <xf numFmtId="178" fontId="3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9" fontId="3" fillId="0" borderId="0" xfId="0" applyNumberFormat="1" applyFont="1" applyAlignment="1">
      <alignment horizontal="left" vertical="center"/>
    </xf>
    <xf numFmtId="179" fontId="3" fillId="0" borderId="0" xfId="0" applyNumberFormat="1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8" fontId="2" fillId="0" borderId="0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78" fontId="0" fillId="2" borderId="4" xfId="0" applyNumberFormat="1" applyFill="1" applyBorder="1" applyAlignment="1">
      <alignment horizontal="center" vertical="center" wrapText="1"/>
    </xf>
    <xf numFmtId="179" fontId="3" fillId="0" borderId="0" xfId="0" applyNumberFormat="1" applyFont="1" applyBorder="1" applyAlignment="1">
      <alignment horizontal="center" vertical="center" wrapText="1"/>
    </xf>
    <xf numFmtId="179" fontId="3" fillId="2" borderId="0" xfId="0" applyNumberFormat="1" applyFont="1" applyFill="1" applyAlignment="1">
      <alignment horizontal="center" vertical="center" wrapText="1"/>
    </xf>
    <xf numFmtId="179" fontId="3" fillId="2" borderId="5" xfId="0" applyNumberFormat="1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opLeftCell="A8" workbookViewId="0">
      <selection activeCell="M5" sqref="M5"/>
    </sheetView>
  </sheetViews>
  <sheetFormatPr defaultColWidth="9" defaultRowHeight="14.4"/>
  <cols>
    <col min="1" max="1" width="13.1759259259259" style="1" customWidth="1"/>
    <col min="2" max="2" width="12.7777777777778" style="1" customWidth="1"/>
    <col min="3" max="10" width="10.3333333333333" style="1" customWidth="1"/>
    <col min="11" max="17" width="10.3333333333333" style="2" customWidth="1"/>
    <col min="18" max="49" width="8.77777777777778" style="1" customWidth="1"/>
    <col min="50" max="16355" width="9" style="1"/>
    <col min="16357" max="16384" width="9" style="1"/>
  </cols>
  <sheetData>
    <row r="1" spans="1:10">
      <c r="A1" s="3" t="s">
        <v>0</v>
      </c>
      <c r="E1" s="2"/>
      <c r="F1" s="2"/>
      <c r="G1" s="2"/>
      <c r="J1" s="2"/>
    </row>
    <row r="2" ht="94" customHeight="1" spans="1:17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42" t="s">
        <v>9</v>
      </c>
      <c r="Q2" s="56"/>
    </row>
    <row r="3" ht="30" customHeight="1" spans="1:13">
      <c r="A3" s="7" t="s">
        <v>10</v>
      </c>
      <c r="B3" s="8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43" t="s">
        <v>19</v>
      </c>
      <c r="M3" s="17"/>
    </row>
    <row r="4" ht="30" customHeight="1" spans="1:13">
      <c r="A4" s="10" t="s">
        <v>20</v>
      </c>
      <c r="B4" s="11">
        <v>350</v>
      </c>
      <c r="C4" s="12">
        <v>0.95</v>
      </c>
      <c r="D4" s="13">
        <v>1</v>
      </c>
      <c r="E4" s="12">
        <v>800</v>
      </c>
      <c r="F4" s="14">
        <v>0.05</v>
      </c>
      <c r="G4" s="15">
        <v>0</v>
      </c>
      <c r="H4" s="15">
        <v>1</v>
      </c>
      <c r="I4" s="44">
        <v>0.8</v>
      </c>
      <c r="J4" s="45">
        <v>0.25</v>
      </c>
      <c r="M4" s="46"/>
    </row>
    <row r="5" customHeight="1" spans="10:17">
      <c r="J5" s="17"/>
      <c r="M5" s="17"/>
      <c r="Q5" s="1"/>
    </row>
    <row r="6" customHeight="1" spans="1:10">
      <c r="A6" s="16" t="s">
        <v>21</v>
      </c>
      <c r="B6" s="17" t="s">
        <v>22</v>
      </c>
      <c r="J6" s="47"/>
    </row>
    <row r="7" customHeight="1" spans="3:11">
      <c r="C7" s="17"/>
      <c r="K7" s="48"/>
    </row>
    <row r="8" customHeight="1" spans="3:11">
      <c r="C8" s="17"/>
      <c r="K8" s="48"/>
    </row>
    <row r="9" customHeight="1"/>
    <row r="10" spans="1:17">
      <c r="A10" s="18" t="s">
        <v>23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57"/>
    </row>
    <row r="11" ht="60" customHeight="1" spans="1:17">
      <c r="A11" s="78" t="s">
        <v>24</v>
      </c>
      <c r="B11" s="78" t="s">
        <v>25</v>
      </c>
      <c r="C11" s="12" t="s">
        <v>26</v>
      </c>
      <c r="D11" s="79" t="s">
        <v>27</v>
      </c>
      <c r="E11" s="79" t="s">
        <v>28</v>
      </c>
      <c r="F11" s="79" t="s">
        <v>29</v>
      </c>
      <c r="G11" s="79" t="s">
        <v>30</v>
      </c>
      <c r="H11" s="79" t="s">
        <v>31</v>
      </c>
      <c r="I11" s="79" t="s">
        <v>32</v>
      </c>
      <c r="J11" s="79" t="s">
        <v>19</v>
      </c>
      <c r="K11" s="79" t="s">
        <v>33</v>
      </c>
      <c r="L11" s="79" t="s">
        <v>34</v>
      </c>
      <c r="M11" s="79" t="s">
        <v>35</v>
      </c>
      <c r="N11" s="79" t="s">
        <v>36</v>
      </c>
      <c r="O11" s="79" t="s">
        <v>37</v>
      </c>
      <c r="P11" s="79" t="s">
        <v>38</v>
      </c>
      <c r="Q11" s="93" t="s">
        <v>39</v>
      </c>
    </row>
    <row r="12" spans="1:17">
      <c r="A12" s="8">
        <v>1500</v>
      </c>
      <c r="B12" s="80">
        <v>30</v>
      </c>
      <c r="C12" s="24">
        <v>62.166692</v>
      </c>
      <c r="D12" s="25">
        <v>62.166692</v>
      </c>
      <c r="E12" s="25">
        <v>1</v>
      </c>
      <c r="F12" s="25">
        <v>0.282778</v>
      </c>
      <c r="G12" s="81">
        <v>1.43068</v>
      </c>
      <c r="H12" s="81">
        <v>0.8</v>
      </c>
      <c r="I12" s="81">
        <v>0.63068</v>
      </c>
      <c r="J12" s="25">
        <v>0.25</v>
      </c>
      <c r="K12" s="25">
        <v>1.963458</v>
      </c>
      <c r="L12" s="90">
        <v>12</v>
      </c>
      <c r="M12" s="25">
        <v>3.393333</v>
      </c>
      <c r="N12" s="25">
        <v>20.606667</v>
      </c>
      <c r="O12" s="25">
        <v>332.5</v>
      </c>
      <c r="P12" s="25">
        <v>62.166692</v>
      </c>
      <c r="Q12" s="59">
        <v>62.166692</v>
      </c>
    </row>
    <row r="13" spans="1:17">
      <c r="A13" s="8"/>
      <c r="B13" s="80">
        <v>45</v>
      </c>
      <c r="C13" s="24">
        <v>88.838619</v>
      </c>
      <c r="D13" s="25">
        <v>88.838619</v>
      </c>
      <c r="E13" s="25">
        <v>1</v>
      </c>
      <c r="F13" s="26">
        <v>0.382778</v>
      </c>
      <c r="G13" s="82">
        <v>1.43068</v>
      </c>
      <c r="H13" s="82">
        <v>0.8</v>
      </c>
      <c r="I13" s="82">
        <v>0.63068</v>
      </c>
      <c r="J13" s="25">
        <v>0.25</v>
      </c>
      <c r="K13" s="26">
        <v>2.063458</v>
      </c>
      <c r="L13" s="77">
        <v>11</v>
      </c>
      <c r="M13" s="26">
        <v>4.210556</v>
      </c>
      <c r="N13" s="26">
        <v>19.789444</v>
      </c>
      <c r="O13" s="26">
        <v>332.5</v>
      </c>
      <c r="P13" s="26">
        <v>88.838619</v>
      </c>
      <c r="Q13" s="59">
        <v>88.838619</v>
      </c>
    </row>
    <row r="14" spans="1:17">
      <c r="A14" s="8"/>
      <c r="B14" s="80">
        <v>60</v>
      </c>
      <c r="C14" s="24">
        <v>115.510547</v>
      </c>
      <c r="D14" s="25">
        <v>115.510547</v>
      </c>
      <c r="E14" s="25">
        <v>1</v>
      </c>
      <c r="F14" s="26">
        <v>0.482778</v>
      </c>
      <c r="G14" s="82">
        <v>1.43068</v>
      </c>
      <c r="H14" s="82">
        <v>0.8</v>
      </c>
      <c r="I14" s="82">
        <v>0.63068</v>
      </c>
      <c r="J14" s="25">
        <v>0.25</v>
      </c>
      <c r="K14" s="26">
        <v>2.163458</v>
      </c>
      <c r="L14" s="77">
        <v>11</v>
      </c>
      <c r="M14" s="26">
        <v>5.310556</v>
      </c>
      <c r="N14" s="26">
        <v>18.689444</v>
      </c>
      <c r="O14" s="26">
        <v>332.5</v>
      </c>
      <c r="P14" s="26">
        <v>115.510547</v>
      </c>
      <c r="Q14" s="59">
        <v>115.510547</v>
      </c>
    </row>
    <row r="15" spans="1:17">
      <c r="A15" s="83">
        <v>3000</v>
      </c>
      <c r="B15" s="84">
        <v>30</v>
      </c>
      <c r="C15" s="29">
        <v>56.265255</v>
      </c>
      <c r="D15" s="30">
        <v>56.265255</v>
      </c>
      <c r="E15" s="30">
        <v>1</v>
      </c>
      <c r="F15" s="31">
        <v>0.306667</v>
      </c>
      <c r="G15" s="31">
        <v>1.43068</v>
      </c>
      <c r="H15" s="31">
        <v>0.8</v>
      </c>
      <c r="I15" s="31">
        <v>0.63068</v>
      </c>
      <c r="J15" s="30">
        <v>0.25</v>
      </c>
      <c r="K15" s="31">
        <v>1.987347</v>
      </c>
      <c r="L15" s="91">
        <v>12</v>
      </c>
      <c r="M15" s="31">
        <v>3.68</v>
      </c>
      <c r="N15" s="31">
        <v>20.32</v>
      </c>
      <c r="O15" s="31">
        <v>332.5</v>
      </c>
      <c r="P15" s="31">
        <v>56.265255</v>
      </c>
      <c r="Q15" s="60">
        <v>56.265255</v>
      </c>
    </row>
    <row r="16" spans="1:17">
      <c r="A16" s="83"/>
      <c r="B16" s="84">
        <v>45</v>
      </c>
      <c r="C16" s="85">
        <v>82.629799</v>
      </c>
      <c r="D16" s="30">
        <v>82.629799</v>
      </c>
      <c r="E16" s="30">
        <v>1</v>
      </c>
      <c r="F16" s="31">
        <v>0.406667</v>
      </c>
      <c r="G16" s="31">
        <v>1.43068</v>
      </c>
      <c r="H16" s="31">
        <v>0.8</v>
      </c>
      <c r="I16" s="31">
        <v>0.63068</v>
      </c>
      <c r="J16" s="30">
        <v>0.25</v>
      </c>
      <c r="K16" s="31">
        <v>2.087347</v>
      </c>
      <c r="L16" s="91">
        <v>11</v>
      </c>
      <c r="M16" s="31">
        <v>4.473333</v>
      </c>
      <c r="N16" s="31">
        <v>19.526667</v>
      </c>
      <c r="O16" s="31">
        <v>332.5</v>
      </c>
      <c r="P16" s="31">
        <v>82.629799</v>
      </c>
      <c r="Q16" s="60">
        <v>82.629799</v>
      </c>
    </row>
    <row r="17" spans="1:17">
      <c r="A17" s="83"/>
      <c r="B17" s="84">
        <v>60</v>
      </c>
      <c r="C17" s="85">
        <v>108.994343</v>
      </c>
      <c r="D17" s="30">
        <v>108.994343</v>
      </c>
      <c r="E17" s="30">
        <v>1</v>
      </c>
      <c r="F17" s="31">
        <v>0.506667</v>
      </c>
      <c r="G17" s="31">
        <v>1.43068</v>
      </c>
      <c r="H17" s="31">
        <v>0.8</v>
      </c>
      <c r="I17" s="31">
        <v>0.63068</v>
      </c>
      <c r="J17" s="30">
        <v>0.25</v>
      </c>
      <c r="K17" s="31">
        <v>2.187347</v>
      </c>
      <c r="L17" s="91">
        <v>10</v>
      </c>
      <c r="M17" s="31">
        <v>5.066667</v>
      </c>
      <c r="N17" s="31">
        <v>18.933333</v>
      </c>
      <c r="O17" s="31">
        <v>332.5</v>
      </c>
      <c r="P17" s="31">
        <v>108.994343</v>
      </c>
      <c r="Q17" s="60">
        <v>108.994343</v>
      </c>
    </row>
    <row r="18" spans="1:17">
      <c r="A18" s="18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57"/>
    </row>
    <row r="19" spans="1:17">
      <c r="A19" s="8">
        <v>1500</v>
      </c>
      <c r="B19" s="80">
        <v>30</v>
      </c>
      <c r="C19" s="24">
        <v>41.948037</v>
      </c>
      <c r="D19" s="25">
        <v>41.948037</v>
      </c>
      <c r="E19" s="25">
        <v>1</v>
      </c>
      <c r="F19" s="25">
        <v>0.282778</v>
      </c>
      <c r="G19" s="81">
        <v>1.43068</v>
      </c>
      <c r="H19" s="81">
        <v>0.8</v>
      </c>
      <c r="I19" s="81">
        <v>0.63068</v>
      </c>
      <c r="J19" s="25">
        <v>0.25</v>
      </c>
      <c r="K19" s="25">
        <v>1.963458</v>
      </c>
      <c r="L19" s="90">
        <v>12</v>
      </c>
      <c r="M19" s="25">
        <v>3.393333</v>
      </c>
      <c r="N19" s="25">
        <v>20.606667</v>
      </c>
      <c r="O19" s="25">
        <v>332.5</v>
      </c>
      <c r="P19" s="25">
        <v>41.948037</v>
      </c>
      <c r="Q19" s="59">
        <v>41.948037</v>
      </c>
    </row>
    <row r="20" spans="1:17">
      <c r="A20" s="8"/>
      <c r="B20" s="80">
        <v>45</v>
      </c>
      <c r="C20" s="24">
        <v>58.736623</v>
      </c>
      <c r="D20" s="25">
        <v>58.736623</v>
      </c>
      <c r="E20" s="25">
        <v>1</v>
      </c>
      <c r="F20" s="26">
        <v>0.382778</v>
      </c>
      <c r="G20" s="82">
        <v>1.43068</v>
      </c>
      <c r="H20" s="82">
        <v>0.8</v>
      </c>
      <c r="I20" s="82">
        <v>0.63068</v>
      </c>
      <c r="J20" s="25">
        <v>0.25</v>
      </c>
      <c r="K20" s="26">
        <v>2.063458</v>
      </c>
      <c r="L20" s="77">
        <v>11</v>
      </c>
      <c r="M20" s="26">
        <v>4.210556</v>
      </c>
      <c r="N20" s="26">
        <v>19.789444</v>
      </c>
      <c r="O20" s="26">
        <v>332.5</v>
      </c>
      <c r="P20" s="26">
        <v>58.736623</v>
      </c>
      <c r="Q20" s="59">
        <v>58.736623</v>
      </c>
    </row>
    <row r="21" spans="1:17">
      <c r="A21" s="8"/>
      <c r="B21" s="80">
        <v>60</v>
      </c>
      <c r="C21" s="24">
        <v>75.525208</v>
      </c>
      <c r="D21" s="25">
        <v>75.525208</v>
      </c>
      <c r="E21" s="25">
        <v>1</v>
      </c>
      <c r="F21" s="26">
        <v>0.482778</v>
      </c>
      <c r="G21" s="82">
        <v>1.43068</v>
      </c>
      <c r="H21" s="82">
        <v>0.8</v>
      </c>
      <c r="I21" s="82">
        <v>0.63068</v>
      </c>
      <c r="J21" s="25">
        <v>0.25</v>
      </c>
      <c r="K21" s="26">
        <v>2.163458</v>
      </c>
      <c r="L21" s="77">
        <v>11</v>
      </c>
      <c r="M21" s="26">
        <v>5.310556</v>
      </c>
      <c r="N21" s="26">
        <v>18.689444</v>
      </c>
      <c r="O21" s="26">
        <v>332.5</v>
      </c>
      <c r="P21" s="26">
        <v>75.525208</v>
      </c>
      <c r="Q21" s="59">
        <v>75.525208</v>
      </c>
    </row>
    <row r="22" spans="1:17">
      <c r="A22" s="83">
        <v>3000</v>
      </c>
      <c r="B22" s="84">
        <v>30</v>
      </c>
      <c r="C22" s="29">
        <v>41.522147</v>
      </c>
      <c r="D22" s="30">
        <v>41.522147</v>
      </c>
      <c r="E22" s="30">
        <v>1</v>
      </c>
      <c r="F22" s="31">
        <v>0.306667</v>
      </c>
      <c r="G22" s="31">
        <v>1.43068</v>
      </c>
      <c r="H22" s="31">
        <v>0.8</v>
      </c>
      <c r="I22" s="31">
        <v>0.63068</v>
      </c>
      <c r="J22" s="30">
        <v>0.25</v>
      </c>
      <c r="K22" s="31">
        <v>1.987347</v>
      </c>
      <c r="L22" s="91">
        <v>12</v>
      </c>
      <c r="M22" s="31">
        <v>3.68</v>
      </c>
      <c r="N22" s="31">
        <v>20.32</v>
      </c>
      <c r="O22" s="31">
        <v>332.5</v>
      </c>
      <c r="P22" s="31">
        <v>41.522147</v>
      </c>
      <c r="Q22" s="60">
        <v>41.522147</v>
      </c>
    </row>
    <row r="23" spans="1:17">
      <c r="A23" s="83"/>
      <c r="B23" s="84">
        <v>45</v>
      </c>
      <c r="C23" s="29">
        <v>58.408147</v>
      </c>
      <c r="D23" s="30">
        <v>58.408147</v>
      </c>
      <c r="E23" s="30">
        <v>1</v>
      </c>
      <c r="F23" s="31">
        <v>0.406667</v>
      </c>
      <c r="G23" s="31">
        <v>1.43068</v>
      </c>
      <c r="H23" s="31">
        <v>0.8</v>
      </c>
      <c r="I23" s="31">
        <v>0.63068</v>
      </c>
      <c r="J23" s="30">
        <v>0.25</v>
      </c>
      <c r="K23" s="31">
        <v>2.087347</v>
      </c>
      <c r="L23" s="91">
        <v>11</v>
      </c>
      <c r="M23" s="31">
        <v>4.473333</v>
      </c>
      <c r="N23" s="31">
        <v>19.526667</v>
      </c>
      <c r="O23" s="31">
        <v>332.5</v>
      </c>
      <c r="P23" s="31">
        <v>58.408147</v>
      </c>
      <c r="Q23" s="60">
        <v>58.408147</v>
      </c>
    </row>
    <row r="24" spans="1:17">
      <c r="A24" s="83"/>
      <c r="B24" s="84">
        <v>60</v>
      </c>
      <c r="C24" s="85">
        <v>75.294146</v>
      </c>
      <c r="D24" s="30">
        <v>75.294146</v>
      </c>
      <c r="E24" s="30">
        <v>1</v>
      </c>
      <c r="F24" s="31">
        <v>0.506667</v>
      </c>
      <c r="G24" s="31">
        <v>1.43068</v>
      </c>
      <c r="H24" s="31">
        <v>0.8</v>
      </c>
      <c r="I24" s="31">
        <v>0.63068</v>
      </c>
      <c r="J24" s="30">
        <v>0.25</v>
      </c>
      <c r="K24" s="31">
        <v>2.187347</v>
      </c>
      <c r="L24" s="91">
        <v>10</v>
      </c>
      <c r="M24" s="31">
        <v>5.066667</v>
      </c>
      <c r="N24" s="31">
        <v>18.933333</v>
      </c>
      <c r="O24" s="31">
        <v>332.5</v>
      </c>
      <c r="P24" s="31">
        <v>75.294146</v>
      </c>
      <c r="Q24" s="60">
        <v>75.294146</v>
      </c>
    </row>
    <row r="25" spans="1:17">
      <c r="A25" s="18" t="s">
        <v>41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7"/>
    </row>
    <row r="26" spans="1:17">
      <c r="A26" s="86">
        <v>1500</v>
      </c>
      <c r="B26" s="80">
        <v>30</v>
      </c>
      <c r="C26" s="87">
        <v>62.644821</v>
      </c>
      <c r="D26" s="25">
        <v>62.644821</v>
      </c>
      <c r="E26" s="25">
        <v>1</v>
      </c>
      <c r="F26" s="25">
        <v>0.282778</v>
      </c>
      <c r="G26" s="81">
        <v>1.43068</v>
      </c>
      <c r="H26" s="81">
        <v>0.8</v>
      </c>
      <c r="I26" s="81">
        <v>0.63068</v>
      </c>
      <c r="J26" s="25">
        <v>0.25</v>
      </c>
      <c r="K26" s="25">
        <v>1.963458</v>
      </c>
      <c r="L26" s="90">
        <v>12</v>
      </c>
      <c r="M26" s="25">
        <v>3.393333</v>
      </c>
      <c r="N26" s="25">
        <v>20.606667</v>
      </c>
      <c r="O26" s="25">
        <v>332.5</v>
      </c>
      <c r="P26" s="25">
        <v>62.644821</v>
      </c>
      <c r="Q26" s="59">
        <v>62.644821</v>
      </c>
    </row>
    <row r="27" spans="1:17">
      <c r="A27" s="80"/>
      <c r="B27" s="80">
        <v>45</v>
      </c>
      <c r="C27" s="87">
        <v>89.13266</v>
      </c>
      <c r="D27" s="25">
        <v>89.13266</v>
      </c>
      <c r="E27" s="25">
        <v>1</v>
      </c>
      <c r="F27" s="25">
        <v>0.382778</v>
      </c>
      <c r="G27" s="81">
        <v>1.43068</v>
      </c>
      <c r="H27" s="81">
        <v>0.8</v>
      </c>
      <c r="I27" s="81">
        <v>0.63068</v>
      </c>
      <c r="J27" s="25">
        <v>0.25</v>
      </c>
      <c r="K27" s="25">
        <v>2.063458</v>
      </c>
      <c r="L27" s="90">
        <v>11</v>
      </c>
      <c r="M27" s="25">
        <v>4.210556</v>
      </c>
      <c r="N27" s="25">
        <v>19.789444</v>
      </c>
      <c r="O27" s="25">
        <v>332.5</v>
      </c>
      <c r="P27" s="25">
        <v>89.13266</v>
      </c>
      <c r="Q27" s="59">
        <v>89.13266</v>
      </c>
    </row>
    <row r="28" spans="1:17">
      <c r="A28" s="80"/>
      <c r="B28" s="80">
        <v>60</v>
      </c>
      <c r="C28" s="87">
        <v>115.620499</v>
      </c>
      <c r="D28" s="25">
        <v>115.620499</v>
      </c>
      <c r="E28" s="25">
        <v>1</v>
      </c>
      <c r="F28" s="26">
        <v>0.482778</v>
      </c>
      <c r="G28" s="82">
        <v>1.43068</v>
      </c>
      <c r="H28" s="82">
        <v>0.8</v>
      </c>
      <c r="I28" s="82">
        <v>0.63068</v>
      </c>
      <c r="J28" s="25">
        <v>0.25</v>
      </c>
      <c r="K28" s="26">
        <v>2.163458</v>
      </c>
      <c r="L28" s="77">
        <v>11</v>
      </c>
      <c r="M28" s="26">
        <v>5.310556</v>
      </c>
      <c r="N28" s="26">
        <v>18.689444</v>
      </c>
      <c r="O28" s="26">
        <v>332.5</v>
      </c>
      <c r="P28" s="26">
        <v>115.620499</v>
      </c>
      <c r="Q28" s="59">
        <v>115.620499</v>
      </c>
    </row>
    <row r="29" spans="1:17">
      <c r="A29" s="84">
        <v>3000</v>
      </c>
      <c r="B29" s="84">
        <v>30</v>
      </c>
      <c r="C29" s="85">
        <v>57.92778</v>
      </c>
      <c r="D29" s="30">
        <v>57.92778</v>
      </c>
      <c r="E29" s="30">
        <v>1</v>
      </c>
      <c r="F29" s="31">
        <v>0.306667</v>
      </c>
      <c r="G29" s="31">
        <v>1.43068</v>
      </c>
      <c r="H29" s="31">
        <v>0.8</v>
      </c>
      <c r="I29" s="31">
        <v>0.63068</v>
      </c>
      <c r="J29" s="30">
        <v>0.25</v>
      </c>
      <c r="K29" s="31">
        <v>1.987347</v>
      </c>
      <c r="L29" s="91">
        <v>12</v>
      </c>
      <c r="M29" s="31">
        <v>3.68</v>
      </c>
      <c r="N29" s="31">
        <v>20.32</v>
      </c>
      <c r="O29" s="31">
        <v>332.5</v>
      </c>
      <c r="P29" s="31">
        <v>57.92778</v>
      </c>
      <c r="Q29" s="60">
        <v>57.92778</v>
      </c>
    </row>
    <row r="30" spans="1:17">
      <c r="A30" s="84"/>
      <c r="B30" s="84">
        <v>45</v>
      </c>
      <c r="C30" s="85">
        <v>84.298844</v>
      </c>
      <c r="D30" s="30">
        <v>84.298844</v>
      </c>
      <c r="E30" s="30">
        <v>1</v>
      </c>
      <c r="F30" s="31">
        <v>0.406667</v>
      </c>
      <c r="G30" s="31">
        <v>1.43068</v>
      </c>
      <c r="H30" s="31">
        <v>0.8</v>
      </c>
      <c r="I30" s="31">
        <v>0.63068</v>
      </c>
      <c r="J30" s="30">
        <v>0.25</v>
      </c>
      <c r="K30" s="31">
        <v>2.087347</v>
      </c>
      <c r="L30" s="91">
        <v>11</v>
      </c>
      <c r="M30" s="31">
        <v>4.473333</v>
      </c>
      <c r="N30" s="31">
        <v>19.526667</v>
      </c>
      <c r="O30" s="31">
        <v>332.5</v>
      </c>
      <c r="P30" s="31">
        <v>84.298844</v>
      </c>
      <c r="Q30" s="60">
        <v>84.298844</v>
      </c>
    </row>
    <row r="31" spans="1:17">
      <c r="A31" s="88"/>
      <c r="B31" s="88">
        <v>60</v>
      </c>
      <c r="C31" s="89">
        <v>110.669908</v>
      </c>
      <c r="D31" s="39">
        <v>110.669908</v>
      </c>
      <c r="E31" s="39">
        <v>1</v>
      </c>
      <c r="F31" s="39">
        <v>0.506667</v>
      </c>
      <c r="G31" s="39">
        <v>1.43068</v>
      </c>
      <c r="H31" s="39">
        <v>0.8</v>
      </c>
      <c r="I31" s="39">
        <v>0.63068</v>
      </c>
      <c r="J31" s="39">
        <v>0.25</v>
      </c>
      <c r="K31" s="39">
        <v>2.187347</v>
      </c>
      <c r="L31" s="92">
        <v>10</v>
      </c>
      <c r="M31" s="39">
        <v>5.066667</v>
      </c>
      <c r="N31" s="39">
        <v>18.933333</v>
      </c>
      <c r="O31" s="39">
        <v>332.5</v>
      </c>
      <c r="P31" s="39">
        <v>110.669908</v>
      </c>
      <c r="Q31" s="63">
        <v>110.669908</v>
      </c>
    </row>
  </sheetData>
  <mergeCells count="9">
    <mergeCell ref="A10:Q10"/>
    <mergeCell ref="A18:Q18"/>
    <mergeCell ref="A25:Q25"/>
    <mergeCell ref="A12:A14"/>
    <mergeCell ref="A15:A17"/>
    <mergeCell ref="A19:A21"/>
    <mergeCell ref="A22:A24"/>
    <mergeCell ref="A26:A28"/>
    <mergeCell ref="A29:A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opLeftCell="B9" workbookViewId="0">
      <selection activeCell="O32" sqref="O32"/>
    </sheetView>
  </sheetViews>
  <sheetFormatPr defaultColWidth="9" defaultRowHeight="14.4"/>
  <cols>
    <col min="1" max="1" width="13.1759259259259" style="40" customWidth="1"/>
    <col min="2" max="2" width="12.7777777777778" style="40" customWidth="1"/>
    <col min="3" max="12" width="10.3333333333333" style="40" customWidth="1"/>
    <col min="13" max="19" width="10.3333333333333" style="55" customWidth="1"/>
    <col min="20" max="20" width="22.0648148148148" style="55" customWidth="1"/>
    <col min="21" max="52" width="8.77777777777778" style="40" customWidth="1"/>
    <col min="53" max="16358" width="9" style="40"/>
    <col min="16359" max="16359" width="9" style="64"/>
    <col min="16360" max="16384" width="9" style="40"/>
  </cols>
  <sheetData>
    <row r="1" spans="1:12">
      <c r="A1" s="65" t="s">
        <v>0</v>
      </c>
      <c r="E1" s="55"/>
      <c r="F1" s="55"/>
      <c r="G1" s="55"/>
      <c r="H1" s="55"/>
      <c r="I1" s="55"/>
      <c r="L1" s="55"/>
    </row>
    <row r="2" ht="94" customHeight="1" spans="1:20">
      <c r="A2" s="66"/>
      <c r="B2" s="67" t="s">
        <v>1</v>
      </c>
      <c r="C2" s="68" t="s">
        <v>2</v>
      </c>
      <c r="D2" s="68" t="s">
        <v>42</v>
      </c>
      <c r="E2" s="68" t="s">
        <v>4</v>
      </c>
      <c r="F2" s="68" t="s">
        <v>5</v>
      </c>
      <c r="G2" s="68" t="s">
        <v>6</v>
      </c>
      <c r="H2" s="68" t="s">
        <v>7</v>
      </c>
      <c r="I2" s="68" t="s">
        <v>8</v>
      </c>
      <c r="J2" s="74" t="s">
        <v>9</v>
      </c>
      <c r="S2" s="77"/>
      <c r="T2" s="77"/>
    </row>
    <row r="3" ht="30" customHeight="1" spans="1:15">
      <c r="A3" s="69" t="s">
        <v>10</v>
      </c>
      <c r="B3" s="22" t="s">
        <v>11</v>
      </c>
      <c r="C3" s="70" t="s">
        <v>12</v>
      </c>
      <c r="D3" s="70" t="s">
        <v>13</v>
      </c>
      <c r="E3" s="70" t="s">
        <v>14</v>
      </c>
      <c r="F3" s="70" t="s">
        <v>15</v>
      </c>
      <c r="G3" s="70" t="s">
        <v>16</v>
      </c>
      <c r="H3" s="70" t="s">
        <v>17</v>
      </c>
      <c r="I3" s="70" t="s">
        <v>18</v>
      </c>
      <c r="J3" s="75" t="s">
        <v>19</v>
      </c>
      <c r="O3" s="73"/>
    </row>
    <row r="4" ht="30" customHeight="1" spans="1:15">
      <c r="A4" s="71" t="s">
        <v>20</v>
      </c>
      <c r="B4" s="11">
        <v>115</v>
      </c>
      <c r="C4" s="14">
        <v>0.95</v>
      </c>
      <c r="D4" s="13">
        <v>5</v>
      </c>
      <c r="E4" s="14">
        <v>800</v>
      </c>
      <c r="F4" s="14">
        <v>0.05</v>
      </c>
      <c r="G4" s="15" t="s">
        <v>43</v>
      </c>
      <c r="H4" s="15">
        <v>1</v>
      </c>
      <c r="I4" s="44">
        <v>0.8</v>
      </c>
      <c r="J4" s="45">
        <v>0.25</v>
      </c>
      <c r="O4" s="76"/>
    </row>
    <row r="5" customHeight="1" spans="12:20">
      <c r="L5" s="73"/>
      <c r="O5" s="73"/>
      <c r="S5" s="40"/>
      <c r="T5" s="40"/>
    </row>
    <row r="6" customHeight="1" spans="1:12">
      <c r="A6" s="72" t="s">
        <v>44</v>
      </c>
      <c r="B6" s="73" t="s">
        <v>22</v>
      </c>
      <c r="L6" s="76"/>
    </row>
    <row r="7" customHeight="1" spans="3:13">
      <c r="C7" s="73"/>
      <c r="M7" s="73"/>
    </row>
    <row r="8" customHeight="1" spans="3:13">
      <c r="C8" s="73"/>
      <c r="M8" s="73"/>
    </row>
    <row r="9" customHeight="1"/>
    <row r="10" spans="1:20">
      <c r="A10" s="32" t="s">
        <v>23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1"/>
    </row>
    <row r="11" ht="60" customHeight="1" spans="1:20">
      <c r="A11" s="20" t="s">
        <v>24</v>
      </c>
      <c r="B11" s="20" t="s">
        <v>25</v>
      </c>
      <c r="C11" s="14" t="s">
        <v>26</v>
      </c>
      <c r="D11" s="21" t="s">
        <v>27</v>
      </c>
      <c r="E11" s="21" t="s">
        <v>28</v>
      </c>
      <c r="F11" s="21" t="s">
        <v>16</v>
      </c>
      <c r="G11" s="21" t="s">
        <v>17</v>
      </c>
      <c r="H11" s="21" t="s">
        <v>29</v>
      </c>
      <c r="I11" s="21" t="s">
        <v>30</v>
      </c>
      <c r="J11" s="21" t="s">
        <v>31</v>
      </c>
      <c r="K11" s="21" t="s">
        <v>32</v>
      </c>
      <c r="L11" s="21" t="s">
        <v>19</v>
      </c>
      <c r="M11" s="21" t="s">
        <v>33</v>
      </c>
      <c r="N11" s="21" t="s">
        <v>34</v>
      </c>
      <c r="O11" s="21" t="s">
        <v>35</v>
      </c>
      <c r="P11" s="21" t="s">
        <v>36</v>
      </c>
      <c r="Q11" s="21" t="s">
        <v>37</v>
      </c>
      <c r="R11" s="21" t="s">
        <v>38</v>
      </c>
      <c r="S11" s="21" t="s">
        <v>39</v>
      </c>
      <c r="T11" s="58" t="s">
        <v>45</v>
      </c>
    </row>
    <row r="12" spans="1:20">
      <c r="A12" s="22">
        <v>1500</v>
      </c>
      <c r="B12" s="23">
        <v>30</v>
      </c>
      <c r="C12" s="24">
        <v>62.166692</v>
      </c>
      <c r="D12" s="25">
        <v>62.166692</v>
      </c>
      <c r="E12" s="25">
        <v>1</v>
      </c>
      <c r="F12" s="25">
        <v>0</v>
      </c>
      <c r="G12" s="25">
        <v>1</v>
      </c>
      <c r="H12" s="25">
        <v>0.282778</v>
      </c>
      <c r="I12" s="25">
        <v>0.872188</v>
      </c>
      <c r="J12" s="25">
        <v>0.455225</v>
      </c>
      <c r="K12" s="25">
        <v>0.416963</v>
      </c>
      <c r="L12" s="25">
        <v>0.25</v>
      </c>
      <c r="M12" s="25">
        <v>1.404966</v>
      </c>
      <c r="N12" s="49">
        <v>17</v>
      </c>
      <c r="O12" s="25">
        <v>4.807222</v>
      </c>
      <c r="P12" s="25">
        <v>19.192778</v>
      </c>
      <c r="Q12" s="25">
        <v>109.25</v>
      </c>
      <c r="R12" s="25">
        <v>310.833458</v>
      </c>
      <c r="S12" s="25">
        <v>109.25</v>
      </c>
      <c r="T12" s="59" t="s">
        <v>46</v>
      </c>
    </row>
    <row r="13" spans="1:20">
      <c r="A13" s="22"/>
      <c r="B13" s="23">
        <v>45</v>
      </c>
      <c r="C13" s="24">
        <v>88.838619</v>
      </c>
      <c r="D13" s="25">
        <v>88.838619</v>
      </c>
      <c r="E13" s="25">
        <v>1</v>
      </c>
      <c r="F13" s="26">
        <v>0</v>
      </c>
      <c r="G13" s="26">
        <v>1</v>
      </c>
      <c r="H13" s="26">
        <v>0.382778</v>
      </c>
      <c r="I13" s="26">
        <v>1.193451</v>
      </c>
      <c r="J13" s="26">
        <v>0.650535</v>
      </c>
      <c r="K13" s="26">
        <v>0.542916</v>
      </c>
      <c r="L13" s="25">
        <v>0.25</v>
      </c>
      <c r="M13" s="26">
        <v>1.826229</v>
      </c>
      <c r="N13" s="50">
        <v>13</v>
      </c>
      <c r="O13" s="26">
        <v>4.976111</v>
      </c>
      <c r="P13" s="26">
        <v>19.023889</v>
      </c>
      <c r="Q13" s="26">
        <v>109.25</v>
      </c>
      <c r="R13" s="26">
        <v>444.193096</v>
      </c>
      <c r="S13" s="26">
        <v>109.25</v>
      </c>
      <c r="T13" s="59" t="s">
        <v>46</v>
      </c>
    </row>
    <row r="14" spans="1:20">
      <c r="A14" s="22"/>
      <c r="B14" s="23">
        <v>60</v>
      </c>
      <c r="C14" s="24">
        <v>115.510547</v>
      </c>
      <c r="D14" s="25">
        <v>115.510547</v>
      </c>
      <c r="E14" s="25">
        <v>1</v>
      </c>
      <c r="F14" s="26">
        <v>0</v>
      </c>
      <c r="G14" s="26">
        <v>1</v>
      </c>
      <c r="H14" s="26">
        <v>0.482778</v>
      </c>
      <c r="I14" s="26">
        <v>1.502242</v>
      </c>
      <c r="J14" s="26">
        <v>0.845844</v>
      </c>
      <c r="K14" s="26">
        <v>0.656398</v>
      </c>
      <c r="L14" s="25">
        <v>0.25</v>
      </c>
      <c r="M14" s="26">
        <v>2.235019</v>
      </c>
      <c r="N14" s="50">
        <v>10</v>
      </c>
      <c r="O14" s="26">
        <v>4.827778</v>
      </c>
      <c r="P14" s="26">
        <v>19.172222</v>
      </c>
      <c r="Q14" s="26">
        <v>109.25</v>
      </c>
      <c r="R14" s="26">
        <v>577.552735</v>
      </c>
      <c r="S14" s="26">
        <v>109.25</v>
      </c>
      <c r="T14" s="59" t="s">
        <v>46</v>
      </c>
    </row>
    <row r="15" spans="1:20">
      <c r="A15" s="27">
        <v>3000</v>
      </c>
      <c r="B15" s="28">
        <v>30</v>
      </c>
      <c r="C15" s="29">
        <v>56.265255</v>
      </c>
      <c r="D15" s="30">
        <v>56.265255</v>
      </c>
      <c r="E15" s="30">
        <v>1</v>
      </c>
      <c r="F15" s="31">
        <v>0</v>
      </c>
      <c r="G15" s="31">
        <v>1</v>
      </c>
      <c r="H15" s="31">
        <v>0.306667</v>
      </c>
      <c r="I15" s="31">
        <v>0.798891</v>
      </c>
      <c r="J15" s="31">
        <v>0.412011</v>
      </c>
      <c r="K15" s="31">
        <v>0.38688</v>
      </c>
      <c r="L15" s="30">
        <v>0.25</v>
      </c>
      <c r="M15" s="31">
        <v>1.355557</v>
      </c>
      <c r="N15" s="51">
        <v>17</v>
      </c>
      <c r="O15" s="31">
        <v>5.213333</v>
      </c>
      <c r="P15" s="31">
        <v>18.786667</v>
      </c>
      <c r="Q15" s="31">
        <v>109.25</v>
      </c>
      <c r="R15" s="31">
        <v>281.326275</v>
      </c>
      <c r="S15" s="31">
        <v>109.25</v>
      </c>
      <c r="T15" s="60" t="s">
        <v>46</v>
      </c>
    </row>
    <row r="16" spans="1:20">
      <c r="A16" s="27"/>
      <c r="B16" s="28">
        <v>45</v>
      </c>
      <c r="C16" s="29">
        <v>82.629799</v>
      </c>
      <c r="D16" s="30">
        <v>82.629799</v>
      </c>
      <c r="E16" s="30">
        <v>1</v>
      </c>
      <c r="F16" s="31">
        <v>0</v>
      </c>
      <c r="G16" s="31">
        <v>1</v>
      </c>
      <c r="H16" s="31">
        <v>0.406667</v>
      </c>
      <c r="I16" s="31">
        <v>1.119941</v>
      </c>
      <c r="J16" s="31">
        <v>0.605069</v>
      </c>
      <c r="K16" s="31">
        <v>0.514872</v>
      </c>
      <c r="L16" s="30">
        <v>0.25</v>
      </c>
      <c r="M16" s="31">
        <v>1.776608</v>
      </c>
      <c r="N16" s="51">
        <v>13</v>
      </c>
      <c r="O16" s="31">
        <v>5.286667</v>
      </c>
      <c r="P16" s="31">
        <v>18.713333</v>
      </c>
      <c r="Q16" s="31">
        <v>109.25</v>
      </c>
      <c r="R16" s="31">
        <v>413.148995</v>
      </c>
      <c r="S16" s="31">
        <v>109.25</v>
      </c>
      <c r="T16" s="60" t="s">
        <v>46</v>
      </c>
    </row>
    <row r="17" spans="1:20">
      <c r="A17" s="27"/>
      <c r="B17" s="28">
        <v>60</v>
      </c>
      <c r="C17" s="29">
        <v>108.994343</v>
      </c>
      <c r="D17" s="30">
        <v>108.994343</v>
      </c>
      <c r="E17" s="30">
        <v>1</v>
      </c>
      <c r="F17" s="31">
        <v>0</v>
      </c>
      <c r="G17" s="31">
        <v>1</v>
      </c>
      <c r="H17" s="31">
        <v>0.506667</v>
      </c>
      <c r="I17" s="31">
        <v>1.427747</v>
      </c>
      <c r="J17" s="31">
        <v>0.798128</v>
      </c>
      <c r="K17" s="31">
        <v>0.629619</v>
      </c>
      <c r="L17" s="30">
        <v>0.25</v>
      </c>
      <c r="M17" s="31">
        <v>2.184414</v>
      </c>
      <c r="N17" s="51">
        <v>10</v>
      </c>
      <c r="O17" s="31">
        <v>5.066667</v>
      </c>
      <c r="P17" s="31">
        <v>18.933333</v>
      </c>
      <c r="Q17" s="31">
        <v>109.25</v>
      </c>
      <c r="R17" s="31">
        <v>544.971714</v>
      </c>
      <c r="S17" s="31">
        <v>109.25</v>
      </c>
      <c r="T17" s="60" t="s">
        <v>46</v>
      </c>
    </row>
    <row r="18" spans="1:20">
      <c r="A18" s="32" t="s">
        <v>40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61"/>
    </row>
    <row r="19" spans="1:20">
      <c r="A19" s="22">
        <v>1500</v>
      </c>
      <c r="B19" s="23">
        <v>30</v>
      </c>
      <c r="C19" s="24">
        <v>41.948037</v>
      </c>
      <c r="D19" s="25">
        <v>41.948037</v>
      </c>
      <c r="E19" s="25">
        <v>1</v>
      </c>
      <c r="F19" s="25">
        <v>0</v>
      </c>
      <c r="G19" s="25">
        <v>1</v>
      </c>
      <c r="H19" s="25">
        <v>0.282778</v>
      </c>
      <c r="I19" s="25">
        <v>0.61667</v>
      </c>
      <c r="J19" s="25">
        <v>0.307171</v>
      </c>
      <c r="K19" s="25">
        <v>0.309499</v>
      </c>
      <c r="L19" s="25">
        <v>0.25</v>
      </c>
      <c r="M19" s="25">
        <v>1.149448</v>
      </c>
      <c r="N19" s="52">
        <v>20</v>
      </c>
      <c r="O19" s="25">
        <v>5.655556</v>
      </c>
      <c r="P19" s="25">
        <v>18.344444</v>
      </c>
      <c r="Q19" s="25">
        <v>109.25</v>
      </c>
      <c r="R19" s="25">
        <v>209.740185</v>
      </c>
      <c r="S19" s="25">
        <v>109.25</v>
      </c>
      <c r="T19" s="59" t="s">
        <v>46</v>
      </c>
    </row>
    <row r="20" spans="1:20">
      <c r="A20" s="22"/>
      <c r="B20" s="23">
        <v>45</v>
      </c>
      <c r="C20" s="24">
        <v>58.736623</v>
      </c>
      <c r="D20" s="25">
        <v>58.736623</v>
      </c>
      <c r="E20" s="25">
        <v>1</v>
      </c>
      <c r="F20" s="26">
        <v>0</v>
      </c>
      <c r="G20" s="26">
        <v>1</v>
      </c>
      <c r="H20" s="26">
        <v>0.382778</v>
      </c>
      <c r="I20" s="26">
        <v>0.8297</v>
      </c>
      <c r="J20" s="26">
        <v>0.430108</v>
      </c>
      <c r="K20" s="26">
        <v>0.399592</v>
      </c>
      <c r="L20" s="25">
        <v>0.25</v>
      </c>
      <c r="M20" s="26">
        <v>1.462478</v>
      </c>
      <c r="N20" s="50">
        <v>16</v>
      </c>
      <c r="O20" s="26">
        <v>6.124444</v>
      </c>
      <c r="P20" s="26">
        <v>17.875556</v>
      </c>
      <c r="Q20" s="26">
        <v>109.25</v>
      </c>
      <c r="R20" s="26">
        <v>293.683113</v>
      </c>
      <c r="S20" s="26">
        <v>109.25</v>
      </c>
      <c r="T20" s="59" t="s">
        <v>46</v>
      </c>
    </row>
    <row r="21" spans="1:20">
      <c r="A21" s="22"/>
      <c r="B21" s="23">
        <v>60</v>
      </c>
      <c r="C21" s="24">
        <v>75.525208</v>
      </c>
      <c r="D21" s="25">
        <v>75.525208</v>
      </c>
      <c r="E21" s="25">
        <v>1</v>
      </c>
      <c r="F21" s="26">
        <v>0</v>
      </c>
      <c r="G21" s="26">
        <v>1</v>
      </c>
      <c r="H21" s="26">
        <v>0.482778</v>
      </c>
      <c r="I21" s="26">
        <v>1.034938</v>
      </c>
      <c r="J21" s="26">
        <v>0.553045</v>
      </c>
      <c r="K21" s="26">
        <v>0.481893</v>
      </c>
      <c r="L21" s="25">
        <v>0.25</v>
      </c>
      <c r="M21" s="26">
        <v>1.767715</v>
      </c>
      <c r="N21" s="50">
        <v>13</v>
      </c>
      <c r="O21" s="26">
        <v>6.276111</v>
      </c>
      <c r="P21" s="26">
        <v>17.723889</v>
      </c>
      <c r="Q21" s="26">
        <v>109.25</v>
      </c>
      <c r="R21" s="26">
        <v>377.626041</v>
      </c>
      <c r="S21" s="26">
        <v>109.25</v>
      </c>
      <c r="T21" s="59" t="s">
        <v>46</v>
      </c>
    </row>
    <row r="22" spans="1:20">
      <c r="A22" s="27">
        <v>3000</v>
      </c>
      <c r="B22" s="28">
        <v>30</v>
      </c>
      <c r="C22" s="29">
        <v>41.522147</v>
      </c>
      <c r="D22" s="30">
        <v>41.522147</v>
      </c>
      <c r="E22" s="30">
        <v>1</v>
      </c>
      <c r="F22" s="31">
        <v>0</v>
      </c>
      <c r="G22" s="31">
        <v>1</v>
      </c>
      <c r="H22" s="31">
        <v>0.306667</v>
      </c>
      <c r="I22" s="31">
        <v>0.611139</v>
      </c>
      <c r="J22" s="31">
        <v>0.304052</v>
      </c>
      <c r="K22" s="31">
        <v>0.307086</v>
      </c>
      <c r="L22" s="30">
        <v>0.25</v>
      </c>
      <c r="M22" s="31">
        <v>1.167805</v>
      </c>
      <c r="N22" s="51">
        <v>20</v>
      </c>
      <c r="O22" s="31">
        <v>6.133333</v>
      </c>
      <c r="P22" s="31">
        <v>17.866667</v>
      </c>
      <c r="Q22" s="31">
        <v>109.25</v>
      </c>
      <c r="R22" s="31">
        <v>207.610737</v>
      </c>
      <c r="S22" s="31">
        <v>109.25</v>
      </c>
      <c r="T22" s="60" t="s">
        <v>46</v>
      </c>
    </row>
    <row r="23" spans="1:20">
      <c r="A23" s="27"/>
      <c r="B23" s="28">
        <v>45</v>
      </c>
      <c r="C23" s="29">
        <v>58.408147</v>
      </c>
      <c r="D23" s="30">
        <v>58.408147</v>
      </c>
      <c r="E23" s="30">
        <v>1</v>
      </c>
      <c r="F23" s="31">
        <v>0</v>
      </c>
      <c r="G23" s="31">
        <v>1</v>
      </c>
      <c r="H23" s="31">
        <v>0.406667</v>
      </c>
      <c r="I23" s="31">
        <v>0.825615</v>
      </c>
      <c r="J23" s="31">
        <v>0.427703</v>
      </c>
      <c r="K23" s="31">
        <v>0.397913</v>
      </c>
      <c r="L23" s="30">
        <v>0.25</v>
      </c>
      <c r="M23" s="31">
        <v>1.482282</v>
      </c>
      <c r="N23" s="51">
        <v>16</v>
      </c>
      <c r="O23" s="31">
        <v>6.506667</v>
      </c>
      <c r="P23" s="31">
        <v>17.493333</v>
      </c>
      <c r="Q23" s="31">
        <v>109.25</v>
      </c>
      <c r="R23" s="31">
        <v>292.040733</v>
      </c>
      <c r="S23" s="31">
        <v>109.25</v>
      </c>
      <c r="T23" s="60" t="s">
        <v>46</v>
      </c>
    </row>
    <row r="24" spans="1:20">
      <c r="A24" s="27"/>
      <c r="B24" s="28">
        <v>60</v>
      </c>
      <c r="C24" s="29">
        <v>75.294146</v>
      </c>
      <c r="D24" s="30">
        <v>75.294146</v>
      </c>
      <c r="E24" s="30">
        <v>1</v>
      </c>
      <c r="F24" s="31">
        <v>0</v>
      </c>
      <c r="G24" s="31">
        <v>1</v>
      </c>
      <c r="H24" s="31">
        <v>0.506667</v>
      </c>
      <c r="I24" s="31">
        <v>1.032156</v>
      </c>
      <c r="J24" s="31">
        <v>0.551353</v>
      </c>
      <c r="K24" s="31">
        <v>0.480803</v>
      </c>
      <c r="L24" s="30">
        <v>0.25</v>
      </c>
      <c r="M24" s="31">
        <v>1.788823</v>
      </c>
      <c r="N24" s="51">
        <v>13</v>
      </c>
      <c r="O24" s="31">
        <v>6.586667</v>
      </c>
      <c r="P24" s="31">
        <v>17.413333</v>
      </c>
      <c r="Q24" s="31">
        <v>109.25</v>
      </c>
      <c r="R24" s="31">
        <v>376.47073</v>
      </c>
      <c r="S24" s="31">
        <v>109.25</v>
      </c>
      <c r="T24" s="60" t="s">
        <v>46</v>
      </c>
    </row>
    <row r="25" spans="1:20">
      <c r="A25" s="32" t="s">
        <v>41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1"/>
    </row>
    <row r="26" spans="1:20">
      <c r="A26" s="34">
        <v>1500</v>
      </c>
      <c r="B26" s="23">
        <v>30</v>
      </c>
      <c r="C26" s="24">
        <v>62.644821</v>
      </c>
      <c r="D26" s="25">
        <v>62.644821</v>
      </c>
      <c r="E26" s="25">
        <v>1</v>
      </c>
      <c r="F26" s="25">
        <v>0</v>
      </c>
      <c r="G26" s="25">
        <v>1</v>
      </c>
      <c r="H26" s="25">
        <v>0.282778</v>
      </c>
      <c r="I26" s="25">
        <v>0.878086</v>
      </c>
      <c r="J26" s="25">
        <v>0.458726</v>
      </c>
      <c r="K26" s="25">
        <v>0.41936</v>
      </c>
      <c r="L26" s="25">
        <v>0.25</v>
      </c>
      <c r="M26" s="25">
        <v>1.410864</v>
      </c>
      <c r="N26" s="49">
        <v>17</v>
      </c>
      <c r="O26" s="25">
        <v>4.807222</v>
      </c>
      <c r="P26" s="25">
        <v>19.192778</v>
      </c>
      <c r="Q26" s="25">
        <v>109.25</v>
      </c>
      <c r="R26" s="25">
        <v>313.224106</v>
      </c>
      <c r="S26" s="25">
        <v>109.25</v>
      </c>
      <c r="T26" s="59" t="s">
        <v>46</v>
      </c>
    </row>
    <row r="27" spans="1:20">
      <c r="A27" s="23"/>
      <c r="B27" s="23">
        <v>45</v>
      </c>
      <c r="C27" s="24">
        <v>89.13266</v>
      </c>
      <c r="D27" s="25">
        <v>89.13266</v>
      </c>
      <c r="E27" s="25">
        <v>1</v>
      </c>
      <c r="F27" s="25">
        <v>0</v>
      </c>
      <c r="G27" s="25">
        <v>1</v>
      </c>
      <c r="H27" s="25">
        <v>0.382778</v>
      </c>
      <c r="I27" s="25">
        <v>1.196915</v>
      </c>
      <c r="J27" s="25">
        <v>0.652688</v>
      </c>
      <c r="K27" s="25">
        <v>0.544228</v>
      </c>
      <c r="L27" s="25">
        <v>0.25</v>
      </c>
      <c r="M27" s="25">
        <v>1.829693</v>
      </c>
      <c r="N27" s="49">
        <v>13</v>
      </c>
      <c r="O27" s="25">
        <v>4.976111</v>
      </c>
      <c r="P27" s="25">
        <v>19.023889</v>
      </c>
      <c r="Q27" s="25">
        <v>109.25</v>
      </c>
      <c r="R27" s="25">
        <v>445.6633</v>
      </c>
      <c r="S27" s="25">
        <v>109.25</v>
      </c>
      <c r="T27" s="59" t="s">
        <v>46</v>
      </c>
    </row>
    <row r="28" spans="1:20">
      <c r="A28" s="23"/>
      <c r="B28" s="23">
        <v>60</v>
      </c>
      <c r="C28" s="24">
        <v>115.620499</v>
      </c>
      <c r="D28" s="25">
        <v>115.620499</v>
      </c>
      <c r="E28" s="25">
        <v>1</v>
      </c>
      <c r="F28" s="26">
        <v>0</v>
      </c>
      <c r="G28" s="26">
        <v>1</v>
      </c>
      <c r="H28" s="26">
        <v>0.482778</v>
      </c>
      <c r="I28" s="26">
        <v>1.503494</v>
      </c>
      <c r="J28" s="26">
        <v>0.846649</v>
      </c>
      <c r="K28" s="26">
        <v>0.656845</v>
      </c>
      <c r="L28" s="25">
        <v>0.25</v>
      </c>
      <c r="M28" s="26">
        <v>2.236272</v>
      </c>
      <c r="N28" s="50">
        <v>10</v>
      </c>
      <c r="O28" s="26">
        <v>4.827778</v>
      </c>
      <c r="P28" s="26">
        <v>19.172222</v>
      </c>
      <c r="Q28" s="26">
        <v>109.25</v>
      </c>
      <c r="R28" s="26">
        <v>578.102494</v>
      </c>
      <c r="S28" s="26">
        <v>109.25</v>
      </c>
      <c r="T28" s="59" t="s">
        <v>46</v>
      </c>
    </row>
    <row r="29" spans="1:20">
      <c r="A29" s="28">
        <v>3000</v>
      </c>
      <c r="B29" s="28">
        <v>30</v>
      </c>
      <c r="C29" s="29">
        <v>57.92778</v>
      </c>
      <c r="D29" s="30">
        <v>57.92778</v>
      </c>
      <c r="E29" s="30">
        <v>1</v>
      </c>
      <c r="F29" s="31">
        <v>0</v>
      </c>
      <c r="G29" s="31">
        <v>1</v>
      </c>
      <c r="H29" s="31">
        <v>0.306667</v>
      </c>
      <c r="I29" s="31">
        <v>0.819636</v>
      </c>
      <c r="J29" s="31">
        <v>0.424185</v>
      </c>
      <c r="K29" s="31">
        <v>0.39545</v>
      </c>
      <c r="L29" s="30">
        <v>0.25</v>
      </c>
      <c r="M29" s="31">
        <v>1.376302</v>
      </c>
      <c r="N29" s="51">
        <v>17</v>
      </c>
      <c r="O29" s="31">
        <v>5.213333</v>
      </c>
      <c r="P29" s="31">
        <v>18.786667</v>
      </c>
      <c r="Q29" s="31">
        <v>109.25</v>
      </c>
      <c r="R29" s="31">
        <v>289.638899</v>
      </c>
      <c r="S29" s="31">
        <v>109.25</v>
      </c>
      <c r="T29" s="60" t="s">
        <v>46</v>
      </c>
    </row>
    <row r="30" spans="1:20">
      <c r="A30" s="28"/>
      <c r="B30" s="28">
        <v>45</v>
      </c>
      <c r="C30" s="29">
        <v>84.298844</v>
      </c>
      <c r="D30" s="30">
        <v>84.298844</v>
      </c>
      <c r="E30" s="30">
        <v>1</v>
      </c>
      <c r="F30" s="31">
        <v>0</v>
      </c>
      <c r="G30" s="31">
        <v>1</v>
      </c>
      <c r="H30" s="31">
        <v>0.406667</v>
      </c>
      <c r="I30" s="31">
        <v>1.13977</v>
      </c>
      <c r="J30" s="31">
        <v>0.617291</v>
      </c>
      <c r="K30" s="31">
        <v>0.522479</v>
      </c>
      <c r="L30" s="30">
        <v>0.25</v>
      </c>
      <c r="M30" s="31">
        <v>1.796437</v>
      </c>
      <c r="N30" s="51">
        <v>13</v>
      </c>
      <c r="O30" s="31">
        <v>5.286667</v>
      </c>
      <c r="P30" s="31">
        <v>18.713333</v>
      </c>
      <c r="Q30" s="31">
        <v>109.25</v>
      </c>
      <c r="R30" s="31">
        <v>421.494218</v>
      </c>
      <c r="S30" s="31">
        <v>109.25</v>
      </c>
      <c r="T30" s="60" t="s">
        <v>46</v>
      </c>
    </row>
    <row r="31" spans="1:20">
      <c r="A31" s="37"/>
      <c r="B31" s="37">
        <v>60</v>
      </c>
      <c r="C31" s="38">
        <v>110.669908</v>
      </c>
      <c r="D31" s="39">
        <v>110.669908</v>
      </c>
      <c r="E31" s="39">
        <v>1</v>
      </c>
      <c r="F31" s="39">
        <v>0</v>
      </c>
      <c r="G31" s="39">
        <v>1</v>
      </c>
      <c r="H31" s="39">
        <v>0.506667</v>
      </c>
      <c r="I31" s="39">
        <v>1.446956</v>
      </c>
      <c r="J31" s="39">
        <v>0.810397</v>
      </c>
      <c r="K31" s="39">
        <v>0.636559</v>
      </c>
      <c r="L31" s="39">
        <v>0.25</v>
      </c>
      <c r="M31" s="39">
        <v>2.203623</v>
      </c>
      <c r="N31" s="54">
        <v>10</v>
      </c>
      <c r="O31" s="39">
        <v>5.066667</v>
      </c>
      <c r="P31" s="39">
        <v>18.933333</v>
      </c>
      <c r="Q31" s="39">
        <v>109.25</v>
      </c>
      <c r="R31" s="39">
        <v>553.349538</v>
      </c>
      <c r="S31" s="39">
        <v>109.25</v>
      </c>
      <c r="T31" s="63" t="s">
        <v>46</v>
      </c>
    </row>
  </sheetData>
  <mergeCells count="9">
    <mergeCell ref="A10:T10"/>
    <mergeCell ref="A18:T18"/>
    <mergeCell ref="A25:T25"/>
    <mergeCell ref="A12:A14"/>
    <mergeCell ref="A15:A17"/>
    <mergeCell ref="A19:A21"/>
    <mergeCell ref="A22:A24"/>
    <mergeCell ref="A26:A28"/>
    <mergeCell ref="A29:A3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zoomScale="95" zoomScaleNormal="95" topLeftCell="A2" workbookViewId="0">
      <selection activeCell="M2" sqref="M2"/>
    </sheetView>
  </sheetViews>
  <sheetFormatPr defaultColWidth="9" defaultRowHeight="14.4"/>
  <cols>
    <col min="1" max="1" width="13.1759259259259" style="1" customWidth="1"/>
    <col min="2" max="2" width="12.7777777777778" style="1" customWidth="1"/>
    <col min="3" max="12" width="10.3333333333333" style="1" customWidth="1"/>
    <col min="13" max="19" width="10.3333333333333" style="2" customWidth="1"/>
    <col min="20" max="20" width="22.0648148148148" style="2" customWidth="1"/>
    <col min="21" max="52" width="8.77777777777778" style="1" customWidth="1"/>
    <col min="53" max="16358" width="9" style="1"/>
    <col min="16360" max="16384" width="9" style="1"/>
  </cols>
  <sheetData>
    <row r="1" spans="1:12">
      <c r="A1" s="3" t="s">
        <v>0</v>
      </c>
      <c r="E1" s="2"/>
      <c r="F1" s="2"/>
      <c r="G1" s="2"/>
      <c r="H1" s="2"/>
      <c r="I1" s="2"/>
      <c r="L1" s="2"/>
    </row>
    <row r="2" ht="94" customHeight="1" spans="1:20">
      <c r="A2" s="4"/>
      <c r="B2" s="5" t="s">
        <v>1</v>
      </c>
      <c r="C2" s="6" t="s">
        <v>2</v>
      </c>
      <c r="D2" s="6" t="s">
        <v>42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42" t="s">
        <v>9</v>
      </c>
      <c r="S2" s="56"/>
      <c r="T2" s="56"/>
    </row>
    <row r="3" ht="30" customHeight="1" spans="1:15">
      <c r="A3" s="7" t="s">
        <v>10</v>
      </c>
      <c r="B3" s="8" t="s">
        <v>11</v>
      </c>
      <c r="C3" s="9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43" t="s">
        <v>19</v>
      </c>
      <c r="O3" s="17"/>
    </row>
    <row r="4" ht="30" customHeight="1" spans="1:15">
      <c r="A4" s="10" t="s">
        <v>20</v>
      </c>
      <c r="B4" s="11">
        <v>115</v>
      </c>
      <c r="C4" s="12">
        <v>0.95</v>
      </c>
      <c r="D4" s="13">
        <v>5</v>
      </c>
      <c r="E4" s="12">
        <v>800</v>
      </c>
      <c r="F4" s="14">
        <v>0.05</v>
      </c>
      <c r="G4" s="15" t="s">
        <v>47</v>
      </c>
      <c r="H4" s="15">
        <v>1</v>
      </c>
      <c r="I4" s="44">
        <v>0.8</v>
      </c>
      <c r="J4" s="45">
        <v>0.25</v>
      </c>
      <c r="O4" s="46"/>
    </row>
    <row r="5" customHeight="1" spans="12:20">
      <c r="L5" s="17"/>
      <c r="O5" s="17"/>
      <c r="S5" s="1"/>
      <c r="T5" s="1"/>
    </row>
    <row r="6" customHeight="1" spans="1:12">
      <c r="A6" s="16" t="s">
        <v>21</v>
      </c>
      <c r="B6" s="17" t="s">
        <v>22</v>
      </c>
      <c r="L6" s="47"/>
    </row>
    <row r="7" customHeight="1" spans="2:13">
      <c r="B7" s="17" t="s">
        <v>48</v>
      </c>
      <c r="C7" s="17"/>
      <c r="M7" s="48"/>
    </row>
    <row r="8" customHeight="1" spans="3:13">
      <c r="C8" s="17"/>
      <c r="M8" s="48"/>
    </row>
    <row r="9" customHeight="1"/>
    <row r="10" spans="1:20">
      <c r="A10" s="18" t="s">
        <v>23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57"/>
    </row>
    <row r="11" ht="60" customHeight="1" spans="1:23">
      <c r="A11" s="20" t="s">
        <v>24</v>
      </c>
      <c r="B11" s="20" t="s">
        <v>25</v>
      </c>
      <c r="C11" s="14" t="s">
        <v>26</v>
      </c>
      <c r="D11" s="21" t="s">
        <v>27</v>
      </c>
      <c r="E11" s="21" t="s">
        <v>28</v>
      </c>
      <c r="F11" s="21" t="s">
        <v>16</v>
      </c>
      <c r="G11" s="21" t="s">
        <v>17</v>
      </c>
      <c r="H11" s="21" t="s">
        <v>29</v>
      </c>
      <c r="I11" s="21" t="s">
        <v>30</v>
      </c>
      <c r="J11" s="21" t="s">
        <v>31</v>
      </c>
      <c r="K11" s="21" t="s">
        <v>32</v>
      </c>
      <c r="L11" s="21" t="s">
        <v>19</v>
      </c>
      <c r="M11" s="21" t="s">
        <v>33</v>
      </c>
      <c r="N11" s="21" t="s">
        <v>34</v>
      </c>
      <c r="O11" s="21" t="s">
        <v>35</v>
      </c>
      <c r="P11" s="21" t="s">
        <v>36</v>
      </c>
      <c r="Q11" s="21" t="s">
        <v>37</v>
      </c>
      <c r="R11" s="21" t="s">
        <v>38</v>
      </c>
      <c r="S11" s="21" t="s">
        <v>39</v>
      </c>
      <c r="T11" s="58" t="s">
        <v>45</v>
      </c>
      <c r="U11" s="40"/>
      <c r="V11" s="40"/>
      <c r="W11" s="40"/>
    </row>
    <row r="12" spans="1:23">
      <c r="A12" s="22">
        <v>1500</v>
      </c>
      <c r="B12" s="23">
        <v>30</v>
      </c>
      <c r="C12" s="24">
        <v>62.166692</v>
      </c>
      <c r="D12" s="25">
        <v>62.166692</v>
      </c>
      <c r="E12" s="25">
        <v>0.796206</v>
      </c>
      <c r="F12" s="25">
        <v>0.203794</v>
      </c>
      <c r="G12" s="25">
        <v>1</v>
      </c>
      <c r="H12" s="25">
        <v>0.282778</v>
      </c>
      <c r="I12" s="25">
        <v>0.756222</v>
      </c>
      <c r="J12" s="25">
        <v>0.33926</v>
      </c>
      <c r="K12" s="25">
        <v>0.416963</v>
      </c>
      <c r="L12" s="25">
        <v>0.25</v>
      </c>
      <c r="M12" s="25">
        <v>1.289</v>
      </c>
      <c r="N12" s="49">
        <v>18</v>
      </c>
      <c r="O12" s="25">
        <v>5.09</v>
      </c>
      <c r="P12" s="25">
        <v>18.91</v>
      </c>
      <c r="Q12" s="25">
        <v>109.25</v>
      </c>
      <c r="R12" s="25">
        <v>310.833458</v>
      </c>
      <c r="S12" s="25">
        <v>109.25</v>
      </c>
      <c r="T12" s="59" t="s">
        <v>46</v>
      </c>
      <c r="U12" s="40"/>
      <c r="V12" s="40"/>
      <c r="W12" s="40"/>
    </row>
    <row r="13" spans="1:23">
      <c r="A13" s="22"/>
      <c r="B13" s="23">
        <v>45</v>
      </c>
      <c r="C13" s="24">
        <v>88.838619</v>
      </c>
      <c r="D13" s="25">
        <v>88.838619</v>
      </c>
      <c r="E13" s="25">
        <v>0.857391</v>
      </c>
      <c r="F13" s="26">
        <v>0.142609</v>
      </c>
      <c r="G13" s="26">
        <v>1</v>
      </c>
      <c r="H13" s="26">
        <v>0.382778</v>
      </c>
      <c r="I13" s="26">
        <v>1.077485</v>
      </c>
      <c r="J13" s="26">
        <v>0.534569</v>
      </c>
      <c r="K13" s="26">
        <v>0.542916</v>
      </c>
      <c r="L13" s="25">
        <v>0.25</v>
      </c>
      <c r="M13" s="26">
        <v>1.710263</v>
      </c>
      <c r="N13" s="50">
        <v>14</v>
      </c>
      <c r="O13" s="26">
        <v>5.358889</v>
      </c>
      <c r="P13" s="26">
        <v>18.641111</v>
      </c>
      <c r="Q13" s="26">
        <v>109.25</v>
      </c>
      <c r="R13" s="26">
        <v>444.193096</v>
      </c>
      <c r="S13" s="26">
        <v>109.25</v>
      </c>
      <c r="T13" s="59" t="s">
        <v>46</v>
      </c>
      <c r="U13" s="40"/>
      <c r="V13" s="40"/>
      <c r="W13" s="40"/>
    </row>
    <row r="14" spans="1:23">
      <c r="A14" s="22"/>
      <c r="B14" s="23">
        <v>60</v>
      </c>
      <c r="C14" s="24">
        <v>115.510547</v>
      </c>
      <c r="D14" s="25">
        <v>115.510547</v>
      </c>
      <c r="E14" s="25">
        <v>0.89032</v>
      </c>
      <c r="F14" s="26">
        <v>0.10968</v>
      </c>
      <c r="G14" s="26">
        <v>1</v>
      </c>
      <c r="H14" s="26">
        <v>0.482778</v>
      </c>
      <c r="I14" s="26">
        <v>1.386276</v>
      </c>
      <c r="J14" s="26">
        <v>0.729878</v>
      </c>
      <c r="K14" s="26">
        <v>0.656398</v>
      </c>
      <c r="L14" s="25">
        <v>0.25</v>
      </c>
      <c r="M14" s="26">
        <v>2.119054</v>
      </c>
      <c r="N14" s="50">
        <v>11</v>
      </c>
      <c r="O14" s="26">
        <v>5.310556</v>
      </c>
      <c r="P14" s="26">
        <v>18.689444</v>
      </c>
      <c r="Q14" s="26">
        <v>109.25</v>
      </c>
      <c r="R14" s="26">
        <v>577.552735</v>
      </c>
      <c r="S14" s="26">
        <v>109.25</v>
      </c>
      <c r="T14" s="59" t="s">
        <v>46</v>
      </c>
      <c r="U14" s="40"/>
      <c r="V14" s="40"/>
      <c r="W14" s="40"/>
    </row>
    <row r="15" spans="1:23">
      <c r="A15" s="27">
        <v>3000</v>
      </c>
      <c r="B15" s="28">
        <v>30</v>
      </c>
      <c r="C15" s="29">
        <v>56.265255</v>
      </c>
      <c r="D15" s="30">
        <v>56.265255</v>
      </c>
      <c r="E15" s="30">
        <v>0.793472</v>
      </c>
      <c r="F15" s="31">
        <v>0.206528</v>
      </c>
      <c r="G15" s="31">
        <v>1</v>
      </c>
      <c r="H15" s="31">
        <v>0.306667</v>
      </c>
      <c r="I15" s="31">
        <v>0.692526</v>
      </c>
      <c r="J15" s="31">
        <v>0.305646</v>
      </c>
      <c r="K15" s="31">
        <v>0.38688</v>
      </c>
      <c r="L15" s="30">
        <v>0.25</v>
      </c>
      <c r="M15" s="31">
        <v>1.249193</v>
      </c>
      <c r="N15" s="51">
        <v>19</v>
      </c>
      <c r="O15" s="31">
        <v>5.826667</v>
      </c>
      <c r="P15" s="31">
        <v>18.173333</v>
      </c>
      <c r="Q15" s="31">
        <v>109.25</v>
      </c>
      <c r="R15" s="31">
        <v>281.326275</v>
      </c>
      <c r="S15" s="31">
        <v>109.25</v>
      </c>
      <c r="T15" s="60" t="s">
        <v>46</v>
      </c>
      <c r="U15" s="40"/>
      <c r="V15" s="40"/>
      <c r="W15" s="40"/>
    </row>
    <row r="16" spans="1:23">
      <c r="A16" s="27"/>
      <c r="B16" s="28">
        <v>45</v>
      </c>
      <c r="C16" s="29">
        <v>82.629799</v>
      </c>
      <c r="D16" s="30">
        <v>82.629799</v>
      </c>
      <c r="E16" s="30">
        <v>0.859369</v>
      </c>
      <c r="F16" s="31">
        <v>0.140631</v>
      </c>
      <c r="G16" s="31">
        <v>1</v>
      </c>
      <c r="H16" s="31">
        <v>0.406667</v>
      </c>
      <c r="I16" s="31">
        <v>1.013576</v>
      </c>
      <c r="J16" s="31">
        <v>0.498705</v>
      </c>
      <c r="K16" s="31">
        <v>0.514872</v>
      </c>
      <c r="L16" s="30">
        <v>0.25</v>
      </c>
      <c r="M16" s="31">
        <v>1.670243</v>
      </c>
      <c r="N16" s="51">
        <v>14</v>
      </c>
      <c r="O16" s="31">
        <v>5.693333</v>
      </c>
      <c r="P16" s="31">
        <v>18.306667</v>
      </c>
      <c r="Q16" s="31">
        <v>109.25</v>
      </c>
      <c r="R16" s="31">
        <v>413.148995</v>
      </c>
      <c r="S16" s="31">
        <v>109.25</v>
      </c>
      <c r="T16" s="60" t="s">
        <v>46</v>
      </c>
      <c r="U16" s="40"/>
      <c r="V16" s="40"/>
      <c r="W16" s="40"/>
    </row>
    <row r="17" spans="1:23">
      <c r="A17" s="27"/>
      <c r="B17" s="28">
        <v>60</v>
      </c>
      <c r="C17" s="29">
        <v>108.994343</v>
      </c>
      <c r="D17" s="30">
        <v>108.994343</v>
      </c>
      <c r="E17" s="30">
        <v>0.893386</v>
      </c>
      <c r="F17" s="31">
        <v>0.106614</v>
      </c>
      <c r="G17" s="31">
        <v>1</v>
      </c>
      <c r="H17" s="31">
        <v>0.506667</v>
      </c>
      <c r="I17" s="31">
        <v>1.321382</v>
      </c>
      <c r="J17" s="31">
        <v>0.691763</v>
      </c>
      <c r="K17" s="31">
        <v>0.629619</v>
      </c>
      <c r="L17" s="30">
        <v>0.25</v>
      </c>
      <c r="M17" s="31">
        <v>2.078049</v>
      </c>
      <c r="N17" s="51">
        <v>11</v>
      </c>
      <c r="O17" s="31">
        <v>5.573333</v>
      </c>
      <c r="P17" s="31">
        <v>18.426667</v>
      </c>
      <c r="Q17" s="31">
        <v>109.25</v>
      </c>
      <c r="R17" s="31">
        <v>544.971714</v>
      </c>
      <c r="S17" s="31">
        <v>109.25</v>
      </c>
      <c r="T17" s="60" t="s">
        <v>46</v>
      </c>
      <c r="U17" s="40"/>
      <c r="V17" s="40"/>
      <c r="W17" s="40"/>
    </row>
    <row r="18" spans="1:23">
      <c r="A18" s="32" t="s">
        <v>40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61"/>
      <c r="U18" s="40"/>
      <c r="V18" s="40"/>
      <c r="W18" s="40"/>
    </row>
    <row r="19" spans="1:23">
      <c r="A19" s="22">
        <v>1500</v>
      </c>
      <c r="B19" s="23">
        <v>30</v>
      </c>
      <c r="C19" s="24">
        <v>41.948037</v>
      </c>
      <c r="D19" s="25">
        <v>41.948037</v>
      </c>
      <c r="E19" s="25">
        <v>0.791634</v>
      </c>
      <c r="F19" s="25">
        <v>0.208366</v>
      </c>
      <c r="G19" s="25">
        <v>1</v>
      </c>
      <c r="H19" s="25">
        <v>0.282778</v>
      </c>
      <c r="I19" s="25">
        <v>0.536665</v>
      </c>
      <c r="J19" s="25">
        <v>0.227166</v>
      </c>
      <c r="K19" s="25">
        <v>0.309499</v>
      </c>
      <c r="L19" s="25">
        <v>0.25</v>
      </c>
      <c r="M19" s="25">
        <v>1.069443</v>
      </c>
      <c r="N19" s="52">
        <v>22</v>
      </c>
      <c r="O19" s="25">
        <v>6.221111</v>
      </c>
      <c r="P19" s="25">
        <v>17.778889</v>
      </c>
      <c r="Q19" s="25">
        <v>109.25</v>
      </c>
      <c r="R19" s="25">
        <v>209.740185</v>
      </c>
      <c r="S19" s="25">
        <v>109.25</v>
      </c>
      <c r="T19" s="59" t="s">
        <v>46</v>
      </c>
      <c r="U19" s="40"/>
      <c r="V19" s="40"/>
      <c r="W19" s="40"/>
    </row>
    <row r="20" spans="1:23">
      <c r="A20" s="22"/>
      <c r="B20" s="23">
        <v>45</v>
      </c>
      <c r="C20" s="24">
        <v>58.736623</v>
      </c>
      <c r="D20" s="25">
        <v>58.736623</v>
      </c>
      <c r="E20" s="25">
        <v>0.851191</v>
      </c>
      <c r="F20" s="26">
        <v>0.148809</v>
      </c>
      <c r="G20" s="26">
        <v>1</v>
      </c>
      <c r="H20" s="26">
        <v>0.382778</v>
      </c>
      <c r="I20" s="26">
        <v>0.749695</v>
      </c>
      <c r="J20" s="26">
        <v>0.350103</v>
      </c>
      <c r="K20" s="26">
        <v>0.399592</v>
      </c>
      <c r="L20" s="25">
        <v>0.25</v>
      </c>
      <c r="M20" s="26">
        <v>1.382473</v>
      </c>
      <c r="N20" s="50">
        <v>17</v>
      </c>
      <c r="O20" s="26">
        <v>6.507222</v>
      </c>
      <c r="P20" s="26">
        <v>17.492778</v>
      </c>
      <c r="Q20" s="26">
        <v>109.25</v>
      </c>
      <c r="R20" s="26">
        <v>293.683113</v>
      </c>
      <c r="S20" s="26">
        <v>109.25</v>
      </c>
      <c r="T20" s="59" t="s">
        <v>46</v>
      </c>
      <c r="U20" s="40"/>
      <c r="V20" s="40"/>
      <c r="W20" s="40"/>
    </row>
    <row r="21" spans="1:23">
      <c r="A21" s="22"/>
      <c r="B21" s="23">
        <v>60</v>
      </c>
      <c r="C21" s="24">
        <v>75.525208</v>
      </c>
      <c r="D21" s="25">
        <v>75.525208</v>
      </c>
      <c r="E21" s="25">
        <v>0.88427</v>
      </c>
      <c r="F21" s="26">
        <v>0.11573</v>
      </c>
      <c r="G21" s="26">
        <v>1</v>
      </c>
      <c r="H21" s="26">
        <v>0.482778</v>
      </c>
      <c r="I21" s="26">
        <v>0.954933</v>
      </c>
      <c r="J21" s="26">
        <v>0.47304</v>
      </c>
      <c r="K21" s="26">
        <v>0.481893</v>
      </c>
      <c r="L21" s="25">
        <v>0.25</v>
      </c>
      <c r="M21" s="26">
        <v>1.68771</v>
      </c>
      <c r="N21" s="50">
        <v>14</v>
      </c>
      <c r="O21" s="26">
        <v>6.758889</v>
      </c>
      <c r="P21" s="26">
        <v>17.241111</v>
      </c>
      <c r="Q21" s="26">
        <v>109.25</v>
      </c>
      <c r="R21" s="26">
        <v>377.626041</v>
      </c>
      <c r="S21" s="26">
        <v>109.25</v>
      </c>
      <c r="T21" s="59" t="s">
        <v>46</v>
      </c>
      <c r="U21" s="40"/>
      <c r="V21" s="40"/>
      <c r="W21" s="40"/>
    </row>
    <row r="22" spans="1:23">
      <c r="A22" s="27">
        <v>3000</v>
      </c>
      <c r="B22" s="28">
        <v>30</v>
      </c>
      <c r="C22" s="29">
        <v>41.522147</v>
      </c>
      <c r="D22" s="30">
        <v>41.522147</v>
      </c>
      <c r="E22" s="30">
        <v>0.782449</v>
      </c>
      <c r="F22" s="31">
        <v>0.217551</v>
      </c>
      <c r="G22" s="31">
        <v>1</v>
      </c>
      <c r="H22" s="31">
        <v>0.306667</v>
      </c>
      <c r="I22" s="31">
        <v>0.528455</v>
      </c>
      <c r="J22" s="31">
        <v>0.221369</v>
      </c>
      <c r="K22" s="31">
        <v>0.307086</v>
      </c>
      <c r="L22" s="30">
        <v>0.25</v>
      </c>
      <c r="M22" s="31">
        <v>1.085122</v>
      </c>
      <c r="N22" s="51">
        <v>22</v>
      </c>
      <c r="O22" s="31">
        <v>6.746667</v>
      </c>
      <c r="P22" s="31">
        <v>17.253333</v>
      </c>
      <c r="Q22" s="31">
        <v>109.25</v>
      </c>
      <c r="R22" s="31">
        <v>207.610737</v>
      </c>
      <c r="S22" s="31">
        <v>109.25</v>
      </c>
      <c r="T22" s="60" t="s">
        <v>46</v>
      </c>
      <c r="U22" s="40"/>
      <c r="V22" s="40"/>
      <c r="W22" s="40"/>
    </row>
    <row r="23" spans="1:23">
      <c r="A23" s="27"/>
      <c r="B23" s="28">
        <v>45</v>
      </c>
      <c r="C23" s="29">
        <v>58.408147</v>
      </c>
      <c r="D23" s="30">
        <v>58.408147</v>
      </c>
      <c r="E23" s="30">
        <v>0.845344</v>
      </c>
      <c r="F23" s="31">
        <v>0.154656</v>
      </c>
      <c r="G23" s="31">
        <v>1</v>
      </c>
      <c r="H23" s="31">
        <v>0.406667</v>
      </c>
      <c r="I23" s="31">
        <v>0.742932</v>
      </c>
      <c r="J23" s="31">
        <v>0.345019</v>
      </c>
      <c r="K23" s="31">
        <v>0.397913</v>
      </c>
      <c r="L23" s="30">
        <v>0.25</v>
      </c>
      <c r="M23" s="31">
        <v>1.399598</v>
      </c>
      <c r="N23" s="51">
        <v>17</v>
      </c>
      <c r="O23" s="31">
        <v>6.913333</v>
      </c>
      <c r="P23" s="31">
        <v>17.086667</v>
      </c>
      <c r="Q23" s="31">
        <v>109.25</v>
      </c>
      <c r="R23" s="31">
        <v>292.040733</v>
      </c>
      <c r="S23" s="31">
        <v>109.25</v>
      </c>
      <c r="T23" s="60" t="s">
        <v>46</v>
      </c>
      <c r="U23" s="40"/>
      <c r="V23" s="40"/>
      <c r="W23" s="40"/>
    </row>
    <row r="24" spans="1:23">
      <c r="A24" s="27"/>
      <c r="B24" s="28">
        <v>60</v>
      </c>
      <c r="C24" s="29">
        <v>75.294146</v>
      </c>
      <c r="D24" s="30">
        <v>75.294146</v>
      </c>
      <c r="E24" s="30">
        <v>0.880028</v>
      </c>
      <c r="F24" s="31">
        <v>0.119972</v>
      </c>
      <c r="G24" s="31">
        <v>1</v>
      </c>
      <c r="H24" s="31">
        <v>0.506667</v>
      </c>
      <c r="I24" s="31">
        <v>0.949473</v>
      </c>
      <c r="J24" s="31">
        <v>0.46867</v>
      </c>
      <c r="K24" s="31">
        <v>0.480803</v>
      </c>
      <c r="L24" s="30">
        <v>0.25</v>
      </c>
      <c r="M24" s="31">
        <v>1.706139</v>
      </c>
      <c r="N24" s="51">
        <v>14</v>
      </c>
      <c r="O24" s="31">
        <v>7.093333</v>
      </c>
      <c r="P24" s="31">
        <v>16.906667</v>
      </c>
      <c r="Q24" s="31">
        <v>109.25</v>
      </c>
      <c r="R24" s="31">
        <v>376.47073</v>
      </c>
      <c r="S24" s="31">
        <v>109.25</v>
      </c>
      <c r="T24" s="60" t="s">
        <v>46</v>
      </c>
      <c r="U24" s="40"/>
      <c r="V24" s="40"/>
      <c r="W24" s="40"/>
    </row>
    <row r="25" spans="1:23">
      <c r="A25" s="32" t="s">
        <v>41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1"/>
      <c r="U25" s="40"/>
      <c r="V25" s="40"/>
      <c r="W25" s="40"/>
    </row>
    <row r="26" spans="1:23">
      <c r="A26" s="34">
        <v>1500</v>
      </c>
      <c r="B26" s="34">
        <v>30</v>
      </c>
      <c r="C26" s="35">
        <v>62.644821</v>
      </c>
      <c r="D26" s="36">
        <v>62.644821</v>
      </c>
      <c r="E26" s="36">
        <v>0.797159</v>
      </c>
      <c r="F26" s="36">
        <v>0.202841</v>
      </c>
      <c r="G26" s="36">
        <v>1</v>
      </c>
      <c r="H26" s="36">
        <v>0.282778</v>
      </c>
      <c r="I26" s="36">
        <v>0.761775</v>
      </c>
      <c r="J26" s="36">
        <v>0.342416</v>
      </c>
      <c r="K26" s="36">
        <v>0.41936</v>
      </c>
      <c r="L26" s="36">
        <v>0.25</v>
      </c>
      <c r="M26" s="36">
        <v>1.294553</v>
      </c>
      <c r="N26" s="53">
        <v>18</v>
      </c>
      <c r="O26" s="36">
        <v>5.09</v>
      </c>
      <c r="P26" s="36">
        <v>18.91</v>
      </c>
      <c r="Q26" s="25">
        <v>109.25</v>
      </c>
      <c r="R26" s="25">
        <v>313.224106</v>
      </c>
      <c r="S26" s="25">
        <v>109.25</v>
      </c>
      <c r="T26" s="62" t="s">
        <v>46</v>
      </c>
      <c r="U26" s="40"/>
      <c r="V26" s="40"/>
      <c r="W26" s="40"/>
    </row>
    <row r="27" spans="1:23">
      <c r="A27" s="23"/>
      <c r="B27" s="23">
        <v>45</v>
      </c>
      <c r="C27" s="24">
        <v>89.13266</v>
      </c>
      <c r="D27" s="25">
        <v>89.13266</v>
      </c>
      <c r="E27" s="25">
        <v>0.857438</v>
      </c>
      <c r="F27" s="25">
        <v>0.142562</v>
      </c>
      <c r="G27" s="25">
        <v>1</v>
      </c>
      <c r="H27" s="25">
        <v>0.382778</v>
      </c>
      <c r="I27" s="25">
        <v>1.080604</v>
      </c>
      <c r="J27" s="25">
        <v>0.536377</v>
      </c>
      <c r="K27" s="25">
        <v>0.544228</v>
      </c>
      <c r="L27" s="25">
        <v>0.25</v>
      </c>
      <c r="M27" s="25">
        <v>1.713382</v>
      </c>
      <c r="N27" s="49">
        <v>14</v>
      </c>
      <c r="O27" s="25">
        <v>5.358889</v>
      </c>
      <c r="P27" s="25">
        <v>18.641111</v>
      </c>
      <c r="Q27" s="25">
        <v>109.25</v>
      </c>
      <c r="R27" s="25">
        <v>445.6633</v>
      </c>
      <c r="S27" s="25">
        <v>109.25</v>
      </c>
      <c r="T27" s="59" t="s">
        <v>46</v>
      </c>
      <c r="U27" s="40"/>
      <c r="V27" s="40"/>
      <c r="W27" s="40"/>
    </row>
    <row r="28" spans="1:23">
      <c r="A28" s="23"/>
      <c r="B28" s="23">
        <v>60</v>
      </c>
      <c r="C28" s="24">
        <v>115.620499</v>
      </c>
      <c r="D28" s="25">
        <v>115.620499</v>
      </c>
      <c r="E28" s="25">
        <v>0.890098</v>
      </c>
      <c r="F28" s="26">
        <v>0.109902</v>
      </c>
      <c r="G28" s="26">
        <v>1</v>
      </c>
      <c r="H28" s="26">
        <v>0.482778</v>
      </c>
      <c r="I28" s="26">
        <v>1.387183</v>
      </c>
      <c r="J28" s="26">
        <v>0.730338</v>
      </c>
      <c r="K28" s="26">
        <v>0.656845</v>
      </c>
      <c r="L28" s="25">
        <v>0.25</v>
      </c>
      <c r="M28" s="26">
        <v>2.119961</v>
      </c>
      <c r="N28" s="50">
        <v>11</v>
      </c>
      <c r="O28" s="26">
        <v>5.310556</v>
      </c>
      <c r="P28" s="26">
        <v>18.689444</v>
      </c>
      <c r="Q28" s="26">
        <v>109.25</v>
      </c>
      <c r="R28" s="26">
        <v>578.102494</v>
      </c>
      <c r="S28" s="26">
        <v>109.25</v>
      </c>
      <c r="T28" s="59" t="s">
        <v>46</v>
      </c>
      <c r="U28" s="40"/>
      <c r="V28" s="40"/>
      <c r="W28" s="40"/>
    </row>
    <row r="29" spans="1:23">
      <c r="A29" s="28">
        <v>3000</v>
      </c>
      <c r="B29" s="28">
        <v>30</v>
      </c>
      <c r="C29" s="29">
        <v>57.92778</v>
      </c>
      <c r="D29" s="30">
        <v>57.92778</v>
      </c>
      <c r="E29" s="30">
        <v>0.795178</v>
      </c>
      <c r="F29" s="31">
        <v>0.204822</v>
      </c>
      <c r="G29" s="31">
        <v>1</v>
      </c>
      <c r="H29" s="31">
        <v>0.306667</v>
      </c>
      <c r="I29" s="31">
        <v>0.711033</v>
      </c>
      <c r="J29" s="31">
        <v>0.315582</v>
      </c>
      <c r="K29" s="31">
        <v>0.39545</v>
      </c>
      <c r="L29" s="30">
        <v>0.25</v>
      </c>
      <c r="M29" s="31">
        <v>1.267699</v>
      </c>
      <c r="N29" s="51">
        <v>18</v>
      </c>
      <c r="O29" s="31">
        <v>5.52</v>
      </c>
      <c r="P29" s="31">
        <v>18.48</v>
      </c>
      <c r="Q29" s="31">
        <v>109.25</v>
      </c>
      <c r="R29" s="31">
        <v>289.638899</v>
      </c>
      <c r="S29" s="31">
        <v>109.25</v>
      </c>
      <c r="T29" s="60" t="s">
        <v>46</v>
      </c>
      <c r="U29" s="40"/>
      <c r="V29" s="40"/>
      <c r="W29" s="40"/>
    </row>
    <row r="30" spans="1:23">
      <c r="A30" s="28"/>
      <c r="B30" s="28">
        <v>45</v>
      </c>
      <c r="C30" s="29">
        <v>84.298844</v>
      </c>
      <c r="D30" s="30">
        <v>84.298844</v>
      </c>
      <c r="E30" s="30">
        <v>0.859252</v>
      </c>
      <c r="F30" s="31">
        <v>0.140748</v>
      </c>
      <c r="G30" s="31">
        <v>1</v>
      </c>
      <c r="H30" s="31">
        <v>0.406667</v>
      </c>
      <c r="I30" s="31">
        <v>1.031167</v>
      </c>
      <c r="J30" s="31">
        <v>0.508688</v>
      </c>
      <c r="K30" s="31">
        <v>0.522479</v>
      </c>
      <c r="L30" s="30">
        <v>0.25</v>
      </c>
      <c r="M30" s="31">
        <v>1.687834</v>
      </c>
      <c r="N30" s="51">
        <v>14</v>
      </c>
      <c r="O30" s="31">
        <v>5.693333</v>
      </c>
      <c r="P30" s="31">
        <v>18.306667</v>
      </c>
      <c r="Q30" s="31">
        <v>109.25</v>
      </c>
      <c r="R30" s="31">
        <v>421.494218</v>
      </c>
      <c r="S30" s="31">
        <v>109.25</v>
      </c>
      <c r="T30" s="60" t="s">
        <v>46</v>
      </c>
      <c r="U30" s="40"/>
      <c r="V30" s="40"/>
      <c r="W30" s="40"/>
    </row>
    <row r="31" spans="1:23">
      <c r="A31" s="37"/>
      <c r="B31" s="37">
        <v>60</v>
      </c>
      <c r="C31" s="38">
        <v>110.669908</v>
      </c>
      <c r="D31" s="39">
        <v>110.669908</v>
      </c>
      <c r="E31" s="39">
        <v>0.89279</v>
      </c>
      <c r="F31" s="39">
        <v>0.10721</v>
      </c>
      <c r="G31" s="39">
        <v>1</v>
      </c>
      <c r="H31" s="39">
        <v>0.506667</v>
      </c>
      <c r="I31" s="39">
        <v>1.338353</v>
      </c>
      <c r="J31" s="39">
        <v>0.701794</v>
      </c>
      <c r="K31" s="39">
        <v>0.636559</v>
      </c>
      <c r="L31" s="39">
        <v>0.25</v>
      </c>
      <c r="M31" s="39">
        <v>2.09502</v>
      </c>
      <c r="N31" s="54">
        <v>11</v>
      </c>
      <c r="O31" s="39">
        <v>5.573333</v>
      </c>
      <c r="P31" s="39">
        <v>18.426667</v>
      </c>
      <c r="Q31" s="39">
        <v>109.25</v>
      </c>
      <c r="R31" s="39">
        <v>553.349538</v>
      </c>
      <c r="S31" s="39">
        <v>109.25</v>
      </c>
      <c r="T31" s="63" t="s">
        <v>46</v>
      </c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55"/>
      <c r="N32" s="55"/>
      <c r="O32" s="55"/>
      <c r="P32" s="55"/>
      <c r="Q32" s="55"/>
      <c r="R32" s="55"/>
      <c r="S32" s="55"/>
      <c r="T32" s="55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55"/>
      <c r="N33" s="55"/>
      <c r="O33" s="55"/>
      <c r="P33" s="55"/>
      <c r="Q33" s="55"/>
      <c r="R33" s="55"/>
      <c r="S33" s="55"/>
      <c r="T33" s="55"/>
      <c r="U33" s="40"/>
      <c r="V33" s="40"/>
      <c r="W33" s="40"/>
    </row>
    <row r="34" spans="1:23">
      <c r="A34" s="40"/>
      <c r="B34" s="40"/>
      <c r="C34" s="41">
        <f>C12/H12</f>
        <v>219.84274589961</v>
      </c>
      <c r="D34" s="40"/>
      <c r="E34" s="40"/>
      <c r="F34" s="40"/>
      <c r="G34" s="41">
        <f>H12*60</f>
        <v>16.96668</v>
      </c>
      <c r="H34" s="41"/>
      <c r="I34" s="41">
        <f>J12*60</f>
        <v>20.3556</v>
      </c>
      <c r="J34" s="40"/>
      <c r="K34" s="40"/>
      <c r="L34" s="40"/>
      <c r="M34" s="55"/>
      <c r="N34" s="55"/>
      <c r="O34" s="55"/>
      <c r="P34" s="55"/>
      <c r="Q34" s="55"/>
      <c r="R34" s="55"/>
      <c r="S34" s="55"/>
      <c r="T34" s="55"/>
      <c r="U34" s="40"/>
      <c r="V34" s="40"/>
      <c r="W34" s="40"/>
    </row>
    <row r="35" spans="3:9">
      <c r="C35" s="41">
        <f>C13/H13</f>
        <v>232.089145666679</v>
      </c>
      <c r="G35" s="41">
        <f>H13*60</f>
        <v>22.96668</v>
      </c>
      <c r="H35" s="41"/>
      <c r="I35" s="41">
        <f>J13*60</f>
        <v>32.07414</v>
      </c>
    </row>
    <row r="36" spans="3:9">
      <c r="C36" s="41">
        <f>C14/H14</f>
        <v>239.262242687115</v>
      </c>
      <c r="G36" s="41">
        <f>H14*60</f>
        <v>28.96668</v>
      </c>
      <c r="H36" s="41"/>
      <c r="I36" s="41">
        <f>J14*60</f>
        <v>43.79268</v>
      </c>
    </row>
    <row r="37" spans="3:9">
      <c r="C37" s="41">
        <f>C15/H15</f>
        <v>183.473458181024</v>
      </c>
      <c r="G37" s="41">
        <f>H15*60</f>
        <v>18.40002</v>
      </c>
      <c r="H37" s="41"/>
      <c r="I37" s="41">
        <f>J15*60</f>
        <v>18.33876</v>
      </c>
    </row>
    <row r="38" spans="3:9">
      <c r="C38" s="41">
        <f>C16/H16</f>
        <v>203.18786378044</v>
      </c>
      <c r="G38" s="41">
        <f>H16*60</f>
        <v>24.40002</v>
      </c>
      <c r="H38" s="41"/>
      <c r="I38" s="41">
        <f>J16*60</f>
        <v>29.9223</v>
      </c>
    </row>
    <row r="39" spans="3:9">
      <c r="C39" s="41">
        <f>C17/H17</f>
        <v>215.120272289295</v>
      </c>
      <c r="G39" s="41">
        <f>H17*60</f>
        <v>30.40002</v>
      </c>
      <c r="H39" s="41"/>
      <c r="I39" s="41">
        <f>J17*60</f>
        <v>41.50578</v>
      </c>
    </row>
  </sheetData>
  <mergeCells count="9">
    <mergeCell ref="A10:T10"/>
    <mergeCell ref="A18:T18"/>
    <mergeCell ref="A25:T25"/>
    <mergeCell ref="A12:A14"/>
    <mergeCell ref="A15:A17"/>
    <mergeCell ref="A19:A21"/>
    <mergeCell ref="A22:A24"/>
    <mergeCell ref="A26:A28"/>
    <mergeCell ref="A29:A3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Baseline (c-rate; 0-100)</vt:lpstr>
      <vt:lpstr>Baseline (charger; 0-100)</vt:lpstr>
      <vt:lpstr>Baseline (charger; reserve-100)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2025-10-29T15:05:12Z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1033-12.2.0.23131</vt:lpwstr>
  </property>
  <property fmtid="{D5CDD505-2E9C-101B-9397-08002B2CF9AE}" pid="4" name="KSOReadingLayout">
    <vt:bool>false</vt:bool>
  </property>
</Properties>
</file>