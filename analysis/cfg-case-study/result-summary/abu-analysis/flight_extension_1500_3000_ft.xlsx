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A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<sst xmlns="http://schemas.openxmlformats.org/spreadsheetml/2006/main" count="123" uniqueCount="36">
  <si>
    <t>ABUs' assumptions:</t>
  </si>
  <si>
    <t>Number of ABUs attached</t>
  </si>
  <si>
    <t>Energy reserved for ABU's own safe operations after detach (kWh)</t>
  </si>
  <si>
    <t>Structural fraction of battery mass</t>
  </si>
  <si>
    <t>Integration hardware fraction of battery mass</t>
  </si>
  <si>
    <t>Parameters</t>
  </si>
  <si>
    <t>n_abus</t>
  </si>
  <si>
    <t>E_abu_ops_total_kwh</t>
  </si>
  <si>
    <t>struct_frac</t>
  </si>
  <si>
    <t>integration_frac</t>
  </si>
  <si>
    <r>
      <t>Note</t>
    </r>
    <r>
      <rPr>
        <b/>
        <sz val="11"/>
        <color theme="1"/>
        <rFont val="Calibri"/>
        <charset val="134"/>
        <scheme val="minor"/>
      </rPr>
      <t>:</t>
    </r>
    <r>
      <rPr>
        <sz val="11"/>
        <color theme="1"/>
        <rFont val="Calibri"/>
        <charset val="134"/>
        <scheme val="minor"/>
      </rPr>
      <t xml:space="preserve"> ABU attach at the start and detach at the end of the cruise segment</t>
    </r>
  </si>
  <si>
    <t>Value</t>
  </si>
  <si>
    <t>Archer Midnight</t>
  </si>
  <si>
    <t>Altitude</t>
  </si>
  <si>
    <t>ABU Energy
Sweep</t>
  </si>
  <si>
    <t>Mission Range</t>
  </si>
  <si>
    <t>1500 ft - 30 mi</t>
  </si>
  <si>
    <t>1500 ft - 45 mi</t>
  </si>
  <si>
    <t>1500 ft - 60 mi</t>
  </si>
  <si>
    <t>E_abu_mission_kwh</t>
  </si>
  <si>
    <t>m_abu_batt_kg</t>
  </si>
  <si>
    <t>m_abu_total_all_kg</t>
  </si>
  <si>
    <t>baseline_cruise_energy_kwh</t>
  </si>
  <si>
    <t>E_cruise_attach_kwh</t>
  </si>
  <si>
    <t>E_abu_used_kwh</t>
  </si>
  <si>
    <t>E_saved_kwh</t>
  </si>
  <si>
    <t>extra_time_s</t>
  </si>
  <si>
    <t>extra_range_mi</t>
  </si>
  <si>
    <t>1500 ft</t>
  </si>
  <si>
    <t>3000 ft - 30 mi</t>
  </si>
  <si>
    <t>3000 ft - 45 mi</t>
  </si>
  <si>
    <t>3000 ft - 60 mi</t>
  </si>
  <si>
    <t>3000 ft</t>
  </si>
  <si>
    <t>Joby S4</t>
  </si>
  <si>
    <t>ABU Energy</t>
  </si>
  <si>
    <t>Supernal S-A2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</si>
</sst>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9" applyNumberFormat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6" borderId="19" applyNumberFormat="0" applyAlignment="0" applyProtection="0">
      <alignment vertical="center"/>
    </xf>
    <xf numFmtId="0" fontId="16" fillId="7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84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center" vertical="center" wrapText="1"/>
    </xf>
    <xf numFmtId="178" fontId="0" fillId="0" borderId="7" xfId="0" applyNumberForma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79" fontId="0" fillId="0" borderId="12" xfId="0" applyNumberFormat="1" applyBorder="1" applyAlignment="1">
      <alignment horizontal="center" vertical="center" wrapText="1"/>
    </xf>
    <xf numFmtId="179" fontId="0" fillId="0" borderId="0" xfId="0" applyNumberFormat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179" fontId="0" fillId="0" borderId="13" xfId="0" applyNumberFormat="1" applyBorder="1" applyAlignment="1">
      <alignment horizontal="center" vertical="center" wrapText="1"/>
    </xf>
    <xf numFmtId="179" fontId="0" fillId="0" borderId="7" xfId="0" applyNumberFormat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79" fontId="0" fillId="3" borderId="12" xfId="0" applyNumberFormat="1" applyFill="1" applyBorder="1" applyAlignment="1">
      <alignment horizontal="center" vertical="center" wrapText="1"/>
    </xf>
    <xf numFmtId="179" fontId="0" fillId="3" borderId="0" xfId="0" applyNumberFormat="1" applyFill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179" fontId="0" fillId="3" borderId="13" xfId="0" applyNumberFormat="1" applyFill="1" applyBorder="1" applyAlignment="1">
      <alignment horizontal="center" vertical="center" wrapText="1"/>
    </xf>
    <xf numFmtId="179" fontId="0" fillId="3" borderId="7" xfId="0" applyNumberForma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179" fontId="0" fillId="0" borderId="5" xfId="0" applyNumberFormat="1" applyBorder="1" applyAlignment="1">
      <alignment horizontal="center" vertical="center" wrapText="1"/>
    </xf>
    <xf numFmtId="179" fontId="0" fillId="0" borderId="12" xfId="0" applyNumberFormat="1" applyBorder="1" applyAlignment="1">
      <alignment horizontal="center" vertical="center" wrapText="1"/>
    </xf>
    <xf numFmtId="179" fontId="3" fillId="0" borderId="0" xfId="0" applyNumberFormat="1" applyFont="1" applyAlignment="1">
      <alignment horizontal="center" vertical="center" wrapText="1"/>
    </xf>
    <xf numFmtId="179" fontId="3" fillId="0" borderId="7" xfId="0" applyNumberFormat="1" applyFont="1" applyBorder="1" applyAlignment="1">
      <alignment horizontal="center" vertical="center" wrapText="1"/>
    </xf>
    <xf numFmtId="179" fontId="0" fillId="0" borderId="8" xfId="0" applyNumberFormat="1" applyBorder="1" applyAlignment="1">
      <alignment horizontal="center" vertical="center" wrapText="1"/>
    </xf>
    <xf numFmtId="179" fontId="0" fillId="0" borderId="13" xfId="0" applyNumberFormat="1" applyBorder="1" applyAlignment="1">
      <alignment horizontal="center" vertical="center" wrapText="1"/>
    </xf>
    <xf numFmtId="179" fontId="0" fillId="3" borderId="5" xfId="0" applyNumberFormat="1" applyFill="1" applyBorder="1" applyAlignment="1">
      <alignment horizontal="center" vertical="center" wrapText="1"/>
    </xf>
    <xf numFmtId="179" fontId="0" fillId="3" borderId="12" xfId="0" applyNumberFormat="1" applyFill="1" applyBorder="1" applyAlignment="1">
      <alignment horizontal="center" vertical="center" wrapText="1"/>
    </xf>
    <xf numFmtId="179" fontId="3" fillId="3" borderId="0" xfId="0" applyNumberFormat="1" applyFont="1" applyFill="1" applyAlignment="1">
      <alignment horizontal="center" vertical="center" wrapText="1"/>
    </xf>
    <xf numFmtId="179" fontId="3" fillId="3" borderId="7" xfId="0" applyNumberFormat="1" applyFont="1" applyFill="1" applyBorder="1" applyAlignment="1">
      <alignment horizontal="center" vertical="center" wrapText="1"/>
    </xf>
    <xf numFmtId="179" fontId="0" fillId="3" borderId="8" xfId="0" applyNumberFormat="1" applyFill="1" applyBorder="1" applyAlignment="1">
      <alignment horizontal="center" vertical="center" wrapText="1"/>
    </xf>
    <xf numFmtId="179" fontId="0" fillId="3" borderId="13" xfId="0" applyNumberForma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179" fontId="0" fillId="0" borderId="12" xfId="0" applyNumberFormat="1" applyBorder="1" applyAlignment="1">
      <alignment horizontal="center" vertical="center" wrapText="1"/>
    </xf>
    <xf numFmtId="179" fontId="0" fillId="0" borderId="0" xfId="0" applyNumberFormat="1" applyBorder="1" applyAlignment="1">
      <alignment horizontal="center" vertical="center" wrapText="1"/>
    </xf>
    <xf numFmtId="179" fontId="0" fillId="0" borderId="0" xfId="0" applyNumberFormat="1" applyBorder="1" applyAlignment="1">
      <alignment horizontal="center" vertical="center" wrapText="1"/>
    </xf>
    <xf numFmtId="179" fontId="4" fillId="0" borderId="7" xfId="0" applyNumberFormat="1" applyFont="1" applyBorder="1" applyAlignment="1">
      <alignment horizontal="center" vertical="center" wrapText="1"/>
    </xf>
    <xf numFmtId="179" fontId="0" fillId="0" borderId="13" xfId="0" applyNumberFormat="1" applyBorder="1" applyAlignment="1">
      <alignment horizontal="center" vertical="center" wrapText="1"/>
    </xf>
    <xf numFmtId="179" fontId="0" fillId="0" borderId="7" xfId="0" applyNumberFormat="1" applyBorder="1" applyAlignment="1">
      <alignment horizontal="center" vertical="center" wrapText="1"/>
    </xf>
    <xf numFmtId="179" fontId="0" fillId="0" borderId="7" xfId="0" applyNumberFormat="1" applyBorder="1" applyAlignment="1">
      <alignment horizontal="center" vertical="center" wrapText="1"/>
    </xf>
    <xf numFmtId="179" fontId="0" fillId="3" borderId="12" xfId="0" applyNumberFormat="1" applyFill="1" applyBorder="1" applyAlignment="1">
      <alignment horizontal="center" vertical="center" wrapText="1"/>
    </xf>
    <xf numFmtId="179" fontId="0" fillId="3" borderId="0" xfId="0" applyNumberFormat="1" applyFill="1" applyBorder="1" applyAlignment="1">
      <alignment horizontal="center" vertical="center" wrapText="1"/>
    </xf>
    <xf numFmtId="179" fontId="0" fillId="3" borderId="0" xfId="0" applyNumberFormat="1" applyFill="1" applyBorder="1" applyAlignment="1">
      <alignment horizontal="center" vertical="center" wrapText="1"/>
    </xf>
    <xf numFmtId="179" fontId="4" fillId="3" borderId="7" xfId="0" applyNumberFormat="1" applyFont="1" applyFill="1" applyBorder="1" applyAlignment="1">
      <alignment horizontal="center" vertical="center" wrapText="1"/>
    </xf>
    <xf numFmtId="179" fontId="0" fillId="3" borderId="13" xfId="0" applyNumberFormat="1" applyFill="1" applyBorder="1" applyAlignment="1">
      <alignment horizontal="center" vertical="center" wrapText="1"/>
    </xf>
    <xf numFmtId="179" fontId="0" fillId="3" borderId="7" xfId="0" applyNumberFormat="1" applyFill="1" applyBorder="1" applyAlignment="1">
      <alignment horizontal="center" vertical="center" wrapText="1"/>
    </xf>
    <xf numFmtId="179" fontId="0" fillId="3" borderId="7" xfId="0" applyNumberForma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179" fontId="0" fillId="0" borderId="5" xfId="0" applyNumberFormat="1" applyBorder="1" applyAlignment="1">
      <alignment horizontal="center" vertical="center" wrapText="1"/>
    </xf>
    <xf numFmtId="179" fontId="0" fillId="0" borderId="8" xfId="0" applyNumberFormat="1" applyBorder="1" applyAlignment="1">
      <alignment horizontal="center" vertical="center" wrapText="1"/>
    </xf>
    <xf numFmtId="179" fontId="0" fillId="3" borderId="5" xfId="0" applyNumberFormat="1" applyFill="1" applyBorder="1" applyAlignment="1">
      <alignment horizontal="center" vertical="center" wrapText="1"/>
    </xf>
    <xf numFmtId="179" fontId="0" fillId="3" borderId="8" xfId="0" applyNumberForma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Extended Flight Range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Archer Midnight</a:t>
            </a:r>
            <a:endParaRPr sz="1800"/>
          </a:p>
        </c:rich>
      </c:tx>
      <c:layout>
        <c:manualLayout>
          <c:xMode val="edge"/>
          <c:yMode val="edge"/>
          <c:x val="0.244417042978386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All!$C$8</c:f>
              <c:strCache>
                <c:ptCount val="1"/>
                <c:pt idx="0">
                  <c:v>1500 ft - 30 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All!$J$10:$J$19</c:f>
              <c:numCache>
                <c:formatCode>0.0_ </c:formatCode>
                <c:ptCount val="10"/>
                <c:pt idx="0">
                  <c:v>2.524524</c:v>
                </c:pt>
                <c:pt idx="1">
                  <c:v>5.130556</c:v>
                </c:pt>
                <c:pt idx="2">
                  <c:v>7.734883</c:v>
                </c:pt>
                <c:pt idx="3">
                  <c:v>10.337338</c:v>
                </c:pt>
                <c:pt idx="4">
                  <c:v>12.937921</c:v>
                </c:pt>
                <c:pt idx="5">
                  <c:v>15.536632</c:v>
                </c:pt>
                <c:pt idx="6">
                  <c:v>18.133472</c:v>
                </c:pt>
                <c:pt idx="7">
                  <c:v>20.72844</c:v>
                </c:pt>
                <c:pt idx="8">
                  <c:v>23.265249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All!$K$8</c:f>
              <c:strCache>
                <c:ptCount val="1"/>
                <c:pt idx="0">
                  <c:v>1500 ft - 45 mi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All!$R$10:$R$19</c:f>
              <c:numCache>
                <c:formatCode>0.0_ </c:formatCode>
                <c:ptCount val="10"/>
                <c:pt idx="0">
                  <c:v>2.337901</c:v>
                </c:pt>
                <c:pt idx="1">
                  <c:v>4.809896</c:v>
                </c:pt>
                <c:pt idx="2">
                  <c:v>7.279085</c:v>
                </c:pt>
                <c:pt idx="3">
                  <c:v>9.745196</c:v>
                </c:pt>
                <c:pt idx="4">
                  <c:v>12.208226</c:v>
                </c:pt>
                <c:pt idx="5">
                  <c:v>14.668178</c:v>
                </c:pt>
                <c:pt idx="6">
                  <c:v>17.12505</c:v>
                </c:pt>
                <c:pt idx="7">
                  <c:v>19.578842</c:v>
                </c:pt>
                <c:pt idx="8">
                  <c:v>22.029555</c:v>
                </c:pt>
                <c:pt idx="9">
                  <c:v>24.477189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All!$S$8</c:f>
              <c:strCache>
                <c:ptCount val="1"/>
                <c:pt idx="0">
                  <c:v>1500 ft - 60 mi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All!$Z$10:$Z$19</c:f>
              <c:numCache>
                <c:formatCode>0.0_ </c:formatCode>
                <c:ptCount val="10"/>
                <c:pt idx="0">
                  <c:v>2.151278</c:v>
                </c:pt>
                <c:pt idx="1">
                  <c:v>4.489236</c:v>
                </c:pt>
                <c:pt idx="2">
                  <c:v>6.823288</c:v>
                </c:pt>
                <c:pt idx="3">
                  <c:v>9.153053</c:v>
                </c:pt>
                <c:pt idx="4">
                  <c:v>11.478532</c:v>
                </c:pt>
                <c:pt idx="5">
                  <c:v>13.799723</c:v>
                </c:pt>
                <c:pt idx="6">
                  <c:v>16.116627</c:v>
                </c:pt>
                <c:pt idx="7">
                  <c:v>18.429245</c:v>
                </c:pt>
                <c:pt idx="8">
                  <c:v>20.737575</c:v>
                </c:pt>
                <c:pt idx="9">
                  <c:v>23.041618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All!$C$20</c:f>
              <c:strCache>
                <c:ptCount val="1"/>
                <c:pt idx="0">
                  <c:v>3000 ft - 30 mi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All!$J$21:$J$30</c:f>
              <c:numCache>
                <c:formatCode>0.0_ </c:formatCode>
                <c:ptCount val="10"/>
                <c:pt idx="0">
                  <c:v>2.615664</c:v>
                </c:pt>
                <c:pt idx="1">
                  <c:v>5.296906</c:v>
                </c:pt>
                <c:pt idx="2">
                  <c:v>7.976778</c:v>
                </c:pt>
                <c:pt idx="3">
                  <c:v>10.655145</c:v>
                </c:pt>
                <c:pt idx="4">
                  <c:v>13.332005</c:v>
                </c:pt>
                <c:pt idx="5">
                  <c:v>16.007359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All!$K$20</c:f>
              <c:strCache>
                <c:ptCount val="1"/>
                <c:pt idx="0">
                  <c:v>3000 ft - 45 mi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All!$R$21:$R$30</c:f>
              <c:numCache>
                <c:formatCode>0.0_ </c:formatCode>
                <c:ptCount val="10"/>
                <c:pt idx="0">
                  <c:v>2.419127</c:v>
                </c:pt>
                <c:pt idx="1">
                  <c:v>4.959642</c:v>
                </c:pt>
                <c:pt idx="2">
                  <c:v>7.497623</c:v>
                </c:pt>
                <c:pt idx="3">
                  <c:v>10.032816</c:v>
                </c:pt>
                <c:pt idx="4">
                  <c:v>12.565221</c:v>
                </c:pt>
                <c:pt idx="5">
                  <c:v>15.094838</c:v>
                </c:pt>
                <c:pt idx="6">
                  <c:v>17.621667</c:v>
                </c:pt>
                <c:pt idx="7">
                  <c:v>20.145708</c:v>
                </c:pt>
                <c:pt idx="8">
                  <c:v>22.666961</c:v>
                </c:pt>
                <c:pt idx="9">
                  <c:v>25.185427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All!$S$20</c:f>
              <c:strCache>
                <c:ptCount val="1"/>
                <c:pt idx="0">
                  <c:v>3000 ft - 60 mi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All!$Z$21:$Z$30</c:f>
              <c:numCache>
                <c:formatCode>0.0_ </c:formatCode>
                <c:ptCount val="10"/>
                <c:pt idx="0">
                  <c:v>2.22259</c:v>
                </c:pt>
                <c:pt idx="1">
                  <c:v>4.622378</c:v>
                </c:pt>
                <c:pt idx="2">
                  <c:v>7.018467</c:v>
                </c:pt>
                <c:pt idx="3">
                  <c:v>9.410486</c:v>
                </c:pt>
                <c:pt idx="4">
                  <c:v>11.798436</c:v>
                </c:pt>
                <c:pt idx="5">
                  <c:v>14.182316</c:v>
                </c:pt>
                <c:pt idx="6">
                  <c:v>16.562126</c:v>
                </c:pt>
                <c:pt idx="7">
                  <c:v>18.937867</c:v>
                </c:pt>
                <c:pt idx="8">
                  <c:v>21.309537</c:v>
                </c:pt>
                <c:pt idx="9">
                  <c:v>23.677139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Extended Range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7"/>
              <c:y val="0.3614464936736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Extended Flight Range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Joby S4</a:t>
            </a:r>
            <a:endParaRPr sz="1800"/>
          </a:p>
        </c:rich>
      </c:tx>
      <c:layout>
        <c:manualLayout>
          <c:xMode val="edge"/>
          <c:yMode val="edge"/>
          <c:x val="0.244417042978386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All!$C$8</c:f>
              <c:strCache>
                <c:ptCount val="1"/>
                <c:pt idx="0">
                  <c:v>1500 ft - 30 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All!$J$37:$J$46</c:f>
              <c:numCache>
                <c:formatCode>0.0_ </c:formatCode>
                <c:ptCount val="10"/>
                <c:pt idx="0">
                  <c:v>3.763325</c:v>
                </c:pt>
                <c:pt idx="1">
                  <c:v>7.817317</c:v>
                </c:pt>
                <c:pt idx="2">
                  <c:v>11.868006</c:v>
                </c:pt>
                <c:pt idx="3">
                  <c:v>15.913359</c:v>
                </c:pt>
                <c:pt idx="4">
                  <c:v>19.953363</c:v>
                </c:pt>
                <c:pt idx="5">
                  <c:v>23.265249</c:v>
                </c:pt>
                <c:pt idx="6">
                  <c:v>23.265249</c:v>
                </c:pt>
                <c:pt idx="7">
                  <c:v>23.265249</c:v>
                </c:pt>
                <c:pt idx="8">
                  <c:v>23.265249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All!$K$8</c:f>
              <c:strCache>
                <c:ptCount val="1"/>
                <c:pt idx="0">
                  <c:v>1500 ft - 45 mi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All!$R$37:$R$46</c:f>
              <c:numCache>
                <c:formatCode>0.0_ </c:formatCode>
                <c:ptCount val="10"/>
                <c:pt idx="0">
                  <c:v>3.307244</c:v>
                </c:pt>
                <c:pt idx="1">
                  <c:v>7.092682</c:v>
                </c:pt>
                <c:pt idx="2">
                  <c:v>10.872685</c:v>
                </c:pt>
                <c:pt idx="3">
                  <c:v>14.64391</c:v>
                </c:pt>
                <c:pt idx="4">
                  <c:v>18.406336</c:v>
                </c:pt>
                <c:pt idx="5">
                  <c:v>22.159961</c:v>
                </c:pt>
                <c:pt idx="6">
                  <c:v>25.904787</c:v>
                </c:pt>
                <c:pt idx="7">
                  <c:v>29.640813</c:v>
                </c:pt>
                <c:pt idx="8">
                  <c:v>33.368041</c:v>
                </c:pt>
                <c:pt idx="9">
                  <c:v>37.086469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All!$S$8</c:f>
              <c:strCache>
                <c:ptCount val="1"/>
                <c:pt idx="0">
                  <c:v>1500 ft - 60 mi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All!$Z$37:$Z$46</c:f>
              <c:numCache>
                <c:formatCode>0.0_ </c:formatCode>
                <c:ptCount val="10"/>
                <c:pt idx="0">
                  <c:v>2.851163</c:v>
                </c:pt>
                <c:pt idx="1">
                  <c:v>6.368047</c:v>
                </c:pt>
                <c:pt idx="2">
                  <c:v>9.877364</c:v>
                </c:pt>
                <c:pt idx="3">
                  <c:v>13.374462</c:v>
                </c:pt>
                <c:pt idx="4">
                  <c:v>16.859309</c:v>
                </c:pt>
                <c:pt idx="5">
                  <c:v>20.331905</c:v>
                </c:pt>
                <c:pt idx="6">
                  <c:v>23.79225</c:v>
                </c:pt>
                <c:pt idx="7">
                  <c:v>27.240345</c:v>
                </c:pt>
                <c:pt idx="8">
                  <c:v>30.676191</c:v>
                </c:pt>
                <c:pt idx="9">
                  <c:v>34.099787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All!$C$20</c:f>
              <c:strCache>
                <c:ptCount val="1"/>
                <c:pt idx="0">
                  <c:v>3000 ft - 30 mi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All!$J$48:$J$57</c:f>
              <c:numCache>
                <c:formatCode>0.0_ </c:formatCode>
                <c:ptCount val="10"/>
                <c:pt idx="0">
                  <c:v>3.8859</c:v>
                </c:pt>
                <c:pt idx="1">
                  <c:v>8.003531</c:v>
                </c:pt>
                <c:pt idx="2">
                  <c:v>12.118598</c:v>
                </c:pt>
                <c:pt idx="3">
                  <c:v>16.229445</c:v>
                </c:pt>
                <c:pt idx="4">
                  <c:v>17.63656</c:v>
                </c:pt>
                <c:pt idx="5">
                  <c:v>17.63656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All!$K$20</c:f>
              <c:strCache>
                <c:ptCount val="1"/>
                <c:pt idx="0">
                  <c:v>3000 ft - 45 mi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All!$R$48:$R$57</c:f>
              <c:numCache>
                <c:formatCode>0.0_ </c:formatCode>
                <c:ptCount val="10"/>
                <c:pt idx="0">
                  <c:v>3.410528</c:v>
                </c:pt>
                <c:pt idx="1">
                  <c:v>7.250004</c:v>
                </c:pt>
                <c:pt idx="2">
                  <c:v>11.084734</c:v>
                </c:pt>
                <c:pt idx="3">
                  <c:v>14.911654</c:v>
                </c:pt>
                <c:pt idx="4">
                  <c:v>18.730742</c:v>
                </c:pt>
                <c:pt idx="5">
                  <c:v>22.542</c:v>
                </c:pt>
                <c:pt idx="6">
                  <c:v>26.345427</c:v>
                </c:pt>
                <c:pt idx="7">
                  <c:v>30.141023</c:v>
                </c:pt>
                <c:pt idx="8">
                  <c:v>32.646397</c:v>
                </c:pt>
                <c:pt idx="9">
                  <c:v>32.646397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All!$S$20</c:f>
              <c:strCache>
                <c:ptCount val="1"/>
                <c:pt idx="0">
                  <c:v>3000 ft - 60 mi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All!$Z$48:$Z$57</c:f>
              <c:numCache>
                <c:formatCode>0.0_ </c:formatCode>
                <c:ptCount val="10"/>
                <c:pt idx="0">
                  <c:v>2.935156</c:v>
                </c:pt>
                <c:pt idx="1">
                  <c:v>6.496478</c:v>
                </c:pt>
                <c:pt idx="2">
                  <c:v>10.050871</c:v>
                </c:pt>
                <c:pt idx="3">
                  <c:v>13.593863</c:v>
                </c:pt>
                <c:pt idx="4">
                  <c:v>17.125423</c:v>
                </c:pt>
                <c:pt idx="5">
                  <c:v>20.645552</c:v>
                </c:pt>
                <c:pt idx="6">
                  <c:v>24.15425</c:v>
                </c:pt>
                <c:pt idx="7">
                  <c:v>27.651516</c:v>
                </c:pt>
                <c:pt idx="8">
                  <c:v>31.137353</c:v>
                </c:pt>
                <c:pt idx="9">
                  <c:v>34.611759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Extended Range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7"/>
              <c:y val="0.3614464936736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1811-5ffa-475c-b24a-cf4c05958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Extended Flight Range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Supernal S-A2</a:t>
            </a:r>
            <a:endParaRPr sz="1800"/>
          </a:p>
        </c:rich>
      </c:tx>
      <c:layout>
        <c:manualLayout>
          <c:xMode val="edge"/>
          <c:yMode val="edge"/>
          <c:x val="0.244417042978386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All!$C$8</c:f>
              <c:strCache>
                <c:ptCount val="1"/>
                <c:pt idx="0">
                  <c:v>1500 ft - 30 mi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All!$J$64:$J$73</c:f>
              <c:numCache>
                <c:formatCode>0.0_ </c:formatCode>
                <c:ptCount val="10"/>
                <c:pt idx="0">
                  <c:v>2.42836</c:v>
                </c:pt>
                <c:pt idx="1">
                  <c:v>5.013839</c:v>
                </c:pt>
                <c:pt idx="2">
                  <c:v>7.598077</c:v>
                </c:pt>
                <c:pt idx="3">
                  <c:v>10.180385</c:v>
                </c:pt>
                <c:pt idx="4">
                  <c:v>12.760761</c:v>
                </c:pt>
                <c:pt idx="5">
                  <c:v>15.339204</c:v>
                </c:pt>
                <c:pt idx="6">
                  <c:v>17.915716</c:v>
                </c:pt>
                <c:pt idx="7">
                  <c:v>20.490295</c:v>
                </c:pt>
                <c:pt idx="8">
                  <c:v>23.062943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All!$K$8</c:f>
              <c:strCache>
                <c:ptCount val="1"/>
                <c:pt idx="0">
                  <c:v>1500 ft - 45 mi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All!$R$64:$R$73</c:f>
              <c:numCache>
                <c:formatCode>0.0_ </c:formatCode>
                <c:ptCount val="10"/>
                <c:pt idx="0">
                  <c:v>2.16708</c:v>
                </c:pt>
                <c:pt idx="1">
                  <c:v>4.592645</c:v>
                </c:pt>
                <c:pt idx="2">
                  <c:v>7.016168</c:v>
                </c:pt>
                <c:pt idx="3">
                  <c:v>9.436516</c:v>
                </c:pt>
                <c:pt idx="4">
                  <c:v>11.853686</c:v>
                </c:pt>
                <c:pt idx="5">
                  <c:v>14.267678</c:v>
                </c:pt>
                <c:pt idx="6">
                  <c:v>16.67849</c:v>
                </c:pt>
                <c:pt idx="7">
                  <c:v>19.086124</c:v>
                </c:pt>
                <c:pt idx="8">
                  <c:v>21.490579</c:v>
                </c:pt>
                <c:pt idx="9">
                  <c:v>23.891856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All!$S$8</c:f>
              <c:strCache>
                <c:ptCount val="1"/>
                <c:pt idx="0">
                  <c:v>1500 ft - 60 mi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All!$Z$64:$Z$73</c:f>
              <c:numCache>
                <c:formatCode>0.0_ </c:formatCode>
                <c:ptCount val="10"/>
                <c:pt idx="0">
                  <c:v>1.905799</c:v>
                </c:pt>
                <c:pt idx="1">
                  <c:v>4.171451</c:v>
                </c:pt>
                <c:pt idx="2">
                  <c:v>6.434259</c:v>
                </c:pt>
                <c:pt idx="3">
                  <c:v>8.692648</c:v>
                </c:pt>
                <c:pt idx="4">
                  <c:v>10.946612</c:v>
                </c:pt>
                <c:pt idx="5">
                  <c:v>13.196151</c:v>
                </c:pt>
                <c:pt idx="6">
                  <c:v>15.441264</c:v>
                </c:pt>
                <c:pt idx="7">
                  <c:v>17.681953</c:v>
                </c:pt>
                <c:pt idx="8">
                  <c:v>19.918216</c:v>
                </c:pt>
                <c:pt idx="9">
                  <c:v>22.150054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All!$C$20</c:f>
              <c:strCache>
                <c:ptCount val="1"/>
                <c:pt idx="0">
                  <c:v>3000 ft - 30 mi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All!$J$75:$J$84</c:f>
              <c:numCache>
                <c:formatCode>0.0_ </c:formatCode>
                <c:ptCount val="10"/>
                <c:pt idx="0">
                  <c:v>2.525456</c:v>
                </c:pt>
                <c:pt idx="1">
                  <c:v>5.176338</c:v>
                </c:pt>
                <c:pt idx="2">
                  <c:v>7.826241</c:v>
                </c:pt>
                <c:pt idx="3">
                  <c:v>10.474602</c:v>
                </c:pt>
                <c:pt idx="4">
                  <c:v>13.121419</c:v>
                </c:pt>
                <c:pt idx="5">
                  <c:v>15.766693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All!$K$20</c:f>
              <c:strCache>
                <c:ptCount val="1"/>
                <c:pt idx="0">
                  <c:v>3000 ft - 45 mi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All!$R$75:$R$84</c:f>
              <c:numCache>
                <c:formatCode>0.0_ </c:formatCode>
                <c:ptCount val="10"/>
                <c:pt idx="0">
                  <c:v>2.252745</c:v>
                </c:pt>
                <c:pt idx="1">
                  <c:v>4.737662</c:v>
                </c:pt>
                <c:pt idx="2">
                  <c:v>7.220765</c:v>
                </c:pt>
                <c:pt idx="3">
                  <c:v>9.701015</c:v>
                </c:pt>
                <c:pt idx="4">
                  <c:v>12.178407</c:v>
                </c:pt>
                <c:pt idx="5">
                  <c:v>14.652942</c:v>
                </c:pt>
                <c:pt idx="6">
                  <c:v>17.124619</c:v>
                </c:pt>
                <c:pt idx="7">
                  <c:v>19.593439</c:v>
                </c:pt>
                <c:pt idx="8">
                  <c:v>22.059402</c:v>
                </c:pt>
                <c:pt idx="9">
                  <c:v>24.522507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All!$S$20</c:f>
              <c:strCache>
                <c:ptCount val="1"/>
                <c:pt idx="0">
                  <c:v>3000 ft - 60 mi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All!$Z$75:$Z$84</c:f>
              <c:numCache>
                <c:formatCode>0.0_ </c:formatCode>
                <c:ptCount val="10"/>
                <c:pt idx="0">
                  <c:v>1.980033</c:v>
                </c:pt>
                <c:pt idx="1">
                  <c:v>4.298985</c:v>
                </c:pt>
                <c:pt idx="2">
                  <c:v>6.615289</c:v>
                </c:pt>
                <c:pt idx="3">
                  <c:v>8.927428</c:v>
                </c:pt>
                <c:pt idx="4">
                  <c:v>11.235395</c:v>
                </c:pt>
                <c:pt idx="5">
                  <c:v>13.539191</c:v>
                </c:pt>
                <c:pt idx="6">
                  <c:v>15.838816</c:v>
                </c:pt>
                <c:pt idx="7">
                  <c:v>18.13427</c:v>
                </c:pt>
                <c:pt idx="8">
                  <c:v>20.425553</c:v>
                </c:pt>
                <c:pt idx="9">
                  <c:v>22.712664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Extended Range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7"/>
              <c:y val="0.3614464936736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321811-5ffa-475c-b24a-cf4c059589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Extended Flight Range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1500 ft - 30 miles</a:t>
            </a:r>
            <a:endParaRPr sz="1800"/>
          </a:p>
        </c:rich>
      </c:tx>
      <c:layout>
        <c:manualLayout>
          <c:xMode val="edge"/>
          <c:yMode val="edge"/>
          <c:x val="0.244417042978386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All!$J$10:$J$19</c:f>
              <c:numCache>
                <c:formatCode>0.0_ </c:formatCode>
                <c:ptCount val="10"/>
                <c:pt idx="0">
                  <c:v>2.524524</c:v>
                </c:pt>
                <c:pt idx="1">
                  <c:v>5.130556</c:v>
                </c:pt>
                <c:pt idx="2">
                  <c:v>7.734883</c:v>
                </c:pt>
                <c:pt idx="3">
                  <c:v>10.337338</c:v>
                </c:pt>
                <c:pt idx="4">
                  <c:v>12.937921</c:v>
                </c:pt>
                <c:pt idx="5">
                  <c:v>15.536632</c:v>
                </c:pt>
                <c:pt idx="6">
                  <c:v>18.133472</c:v>
                </c:pt>
                <c:pt idx="7">
                  <c:v>20.72844</c:v>
                </c:pt>
                <c:pt idx="8">
                  <c:v>23.265249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All!$A$33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All!$J$37:$J$46</c:f>
              <c:numCache>
                <c:formatCode>0.0_ </c:formatCode>
                <c:ptCount val="10"/>
                <c:pt idx="0">
                  <c:v>3.763325</c:v>
                </c:pt>
                <c:pt idx="1">
                  <c:v>7.817317</c:v>
                </c:pt>
                <c:pt idx="2">
                  <c:v>11.868006</c:v>
                </c:pt>
                <c:pt idx="3">
                  <c:v>15.913359</c:v>
                </c:pt>
                <c:pt idx="4">
                  <c:v>19.953363</c:v>
                </c:pt>
                <c:pt idx="5">
                  <c:v>23.265249</c:v>
                </c:pt>
                <c:pt idx="6">
                  <c:v>23.265249</c:v>
                </c:pt>
                <c:pt idx="7">
                  <c:v>23.265249</c:v>
                </c:pt>
                <c:pt idx="8">
                  <c:v>23.265249</c:v>
                </c:pt>
                <c:pt idx="9">
                  <c:v>23.265249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All!$A$60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All!$J$64:$J$73</c:f>
              <c:numCache>
                <c:formatCode>0.0_ </c:formatCode>
                <c:ptCount val="10"/>
                <c:pt idx="0">
                  <c:v>2.42836</c:v>
                </c:pt>
                <c:pt idx="1">
                  <c:v>5.013839</c:v>
                </c:pt>
                <c:pt idx="2">
                  <c:v>7.598077</c:v>
                </c:pt>
                <c:pt idx="3">
                  <c:v>10.180385</c:v>
                </c:pt>
                <c:pt idx="4">
                  <c:v>12.760761</c:v>
                </c:pt>
                <c:pt idx="5">
                  <c:v>15.339204</c:v>
                </c:pt>
                <c:pt idx="6">
                  <c:v>17.915716</c:v>
                </c:pt>
                <c:pt idx="7">
                  <c:v>20.490295</c:v>
                </c:pt>
                <c:pt idx="8">
                  <c:v>23.062943</c:v>
                </c:pt>
                <c:pt idx="9">
                  <c:v>23.265249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Extended Range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7"/>
              <c:y val="0.3614464936736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Extended Flight Range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3000 ft - 30 miles</a:t>
            </a:r>
            <a:endParaRPr sz="1800"/>
          </a:p>
        </c:rich>
      </c:tx>
      <c:layout>
        <c:manualLayout>
          <c:xMode val="edge"/>
          <c:yMode val="edge"/>
          <c:x val="0.244417042978386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All!$A$6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All!$J$21:$J$30</c:f>
              <c:numCache>
                <c:formatCode>0.0_ </c:formatCode>
                <c:ptCount val="10"/>
                <c:pt idx="0">
                  <c:v>2.615664</c:v>
                </c:pt>
                <c:pt idx="1">
                  <c:v>5.296906</c:v>
                </c:pt>
                <c:pt idx="2">
                  <c:v>7.976778</c:v>
                </c:pt>
                <c:pt idx="3">
                  <c:v>10.655145</c:v>
                </c:pt>
                <c:pt idx="4">
                  <c:v>13.332005</c:v>
                </c:pt>
                <c:pt idx="5">
                  <c:v>16.007359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All!$A$33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All!$J$48:$J$57</c:f>
              <c:numCache>
                <c:formatCode>0.0_ </c:formatCode>
                <c:ptCount val="10"/>
                <c:pt idx="0">
                  <c:v>3.8859</c:v>
                </c:pt>
                <c:pt idx="1">
                  <c:v>8.003531</c:v>
                </c:pt>
                <c:pt idx="2">
                  <c:v>12.118598</c:v>
                </c:pt>
                <c:pt idx="3">
                  <c:v>16.229445</c:v>
                </c:pt>
                <c:pt idx="4">
                  <c:v>17.63656</c:v>
                </c:pt>
                <c:pt idx="5">
                  <c:v>17.63656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All!$A$60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All!$J$75:$J$84</c:f>
              <c:numCache>
                <c:formatCode>0.0_ </c:formatCode>
                <c:ptCount val="10"/>
                <c:pt idx="0">
                  <c:v>2.525456</c:v>
                </c:pt>
                <c:pt idx="1">
                  <c:v>5.176338</c:v>
                </c:pt>
                <c:pt idx="2">
                  <c:v>7.826241</c:v>
                </c:pt>
                <c:pt idx="3">
                  <c:v>10.474602</c:v>
                </c:pt>
                <c:pt idx="4">
                  <c:v>13.121419</c:v>
                </c:pt>
                <c:pt idx="5">
                  <c:v>15.766693</c:v>
                </c:pt>
                <c:pt idx="6">
                  <c:v>17.63656</c:v>
                </c:pt>
                <c:pt idx="7">
                  <c:v>17.63656</c:v>
                </c:pt>
                <c:pt idx="8">
                  <c:v>17.63656</c:v>
                </c:pt>
                <c:pt idx="9">
                  <c:v>17.63656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Extended Range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7"/>
              <c:y val="0.3614464936736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Extended Flight Range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1500 ft - 45 miles</a:t>
            </a:r>
            <a:endParaRPr sz="1800"/>
          </a:p>
        </c:rich>
      </c:tx>
      <c:layout>
        <c:manualLayout>
          <c:xMode val="edge"/>
          <c:yMode val="edge"/>
          <c:x val="0.244417042978386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All!$R$10:$R$19</c:f>
              <c:numCache>
                <c:formatCode>0.0_ </c:formatCode>
                <c:ptCount val="10"/>
                <c:pt idx="0">
                  <c:v>2.337901</c:v>
                </c:pt>
                <c:pt idx="1">
                  <c:v>4.809896</c:v>
                </c:pt>
                <c:pt idx="2">
                  <c:v>7.279085</c:v>
                </c:pt>
                <c:pt idx="3">
                  <c:v>9.745196</c:v>
                </c:pt>
                <c:pt idx="4">
                  <c:v>12.208226</c:v>
                </c:pt>
                <c:pt idx="5">
                  <c:v>14.668178</c:v>
                </c:pt>
                <c:pt idx="6">
                  <c:v>17.12505</c:v>
                </c:pt>
                <c:pt idx="7">
                  <c:v>19.578842</c:v>
                </c:pt>
                <c:pt idx="8">
                  <c:v>22.029555</c:v>
                </c:pt>
                <c:pt idx="9">
                  <c:v>24.477189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All!$A$33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All!$R$37:$R$46</c:f>
              <c:numCache>
                <c:formatCode>0.0_ </c:formatCode>
                <c:ptCount val="10"/>
                <c:pt idx="0">
                  <c:v>3.307244</c:v>
                </c:pt>
                <c:pt idx="1">
                  <c:v>7.092682</c:v>
                </c:pt>
                <c:pt idx="2">
                  <c:v>10.872685</c:v>
                </c:pt>
                <c:pt idx="3">
                  <c:v>14.64391</c:v>
                </c:pt>
                <c:pt idx="4">
                  <c:v>18.406336</c:v>
                </c:pt>
                <c:pt idx="5">
                  <c:v>22.159961</c:v>
                </c:pt>
                <c:pt idx="6">
                  <c:v>25.904787</c:v>
                </c:pt>
                <c:pt idx="7">
                  <c:v>29.640813</c:v>
                </c:pt>
                <c:pt idx="8">
                  <c:v>33.368041</c:v>
                </c:pt>
                <c:pt idx="9">
                  <c:v>37.086469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All!$A$60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All!$R$64:$R$73</c:f>
              <c:numCache>
                <c:formatCode>0.0_ </c:formatCode>
                <c:ptCount val="10"/>
                <c:pt idx="0">
                  <c:v>2.16708</c:v>
                </c:pt>
                <c:pt idx="1">
                  <c:v>4.592645</c:v>
                </c:pt>
                <c:pt idx="2">
                  <c:v>7.016168</c:v>
                </c:pt>
                <c:pt idx="3">
                  <c:v>9.436516</c:v>
                </c:pt>
                <c:pt idx="4">
                  <c:v>11.853686</c:v>
                </c:pt>
                <c:pt idx="5">
                  <c:v>14.267678</c:v>
                </c:pt>
                <c:pt idx="6">
                  <c:v>16.67849</c:v>
                </c:pt>
                <c:pt idx="7">
                  <c:v>19.086124</c:v>
                </c:pt>
                <c:pt idx="8">
                  <c:v>21.490579</c:v>
                </c:pt>
                <c:pt idx="9">
                  <c:v>23.891856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Extended Range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7"/>
              <c:y val="0.3614464936736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Extended Flight Range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3000 ft - 45 miles</a:t>
            </a:r>
            <a:endParaRPr sz="1800"/>
          </a:p>
        </c:rich>
      </c:tx>
      <c:layout>
        <c:manualLayout>
          <c:xMode val="edge"/>
          <c:yMode val="edge"/>
          <c:x val="0.244417042978386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All!$R$21:$R$30</c:f>
              <c:numCache>
                <c:formatCode>0.0_ </c:formatCode>
                <c:ptCount val="10"/>
                <c:pt idx="0">
                  <c:v>2.419127</c:v>
                </c:pt>
                <c:pt idx="1">
                  <c:v>4.959642</c:v>
                </c:pt>
                <c:pt idx="2">
                  <c:v>7.497623</c:v>
                </c:pt>
                <c:pt idx="3">
                  <c:v>10.032816</c:v>
                </c:pt>
                <c:pt idx="4">
                  <c:v>12.565221</c:v>
                </c:pt>
                <c:pt idx="5">
                  <c:v>15.094838</c:v>
                </c:pt>
                <c:pt idx="6">
                  <c:v>17.621667</c:v>
                </c:pt>
                <c:pt idx="7">
                  <c:v>20.145708</c:v>
                </c:pt>
                <c:pt idx="8">
                  <c:v>22.666961</c:v>
                </c:pt>
                <c:pt idx="9">
                  <c:v>25.185427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All!$A$33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All!$R$48:$R$57</c:f>
              <c:numCache>
                <c:formatCode>0.0_ </c:formatCode>
                <c:ptCount val="10"/>
                <c:pt idx="0">
                  <c:v>3.410528</c:v>
                </c:pt>
                <c:pt idx="1">
                  <c:v>7.250004</c:v>
                </c:pt>
                <c:pt idx="2">
                  <c:v>11.084734</c:v>
                </c:pt>
                <c:pt idx="3">
                  <c:v>14.911654</c:v>
                </c:pt>
                <c:pt idx="4">
                  <c:v>18.730742</c:v>
                </c:pt>
                <c:pt idx="5">
                  <c:v>22.542</c:v>
                </c:pt>
                <c:pt idx="6">
                  <c:v>26.345427</c:v>
                </c:pt>
                <c:pt idx="7">
                  <c:v>30.141023</c:v>
                </c:pt>
                <c:pt idx="8">
                  <c:v>32.646397</c:v>
                </c:pt>
                <c:pt idx="9">
                  <c:v>32.646397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All!$A$60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All!$R$75:$R$84</c:f>
              <c:numCache>
                <c:formatCode>0.0_ </c:formatCode>
                <c:ptCount val="10"/>
                <c:pt idx="0">
                  <c:v>2.252745</c:v>
                </c:pt>
                <c:pt idx="1">
                  <c:v>4.737662</c:v>
                </c:pt>
                <c:pt idx="2">
                  <c:v>7.220765</c:v>
                </c:pt>
                <c:pt idx="3">
                  <c:v>9.701015</c:v>
                </c:pt>
                <c:pt idx="4">
                  <c:v>12.178407</c:v>
                </c:pt>
                <c:pt idx="5">
                  <c:v>14.652942</c:v>
                </c:pt>
                <c:pt idx="6">
                  <c:v>17.124619</c:v>
                </c:pt>
                <c:pt idx="7">
                  <c:v>19.593439</c:v>
                </c:pt>
                <c:pt idx="8">
                  <c:v>22.059402</c:v>
                </c:pt>
                <c:pt idx="9">
                  <c:v>24.522507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Extended Range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7"/>
              <c:y val="0.3614464936736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Extended Flight Range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1500 ft - 60 miles</a:t>
            </a:r>
            <a:endParaRPr sz="1800"/>
          </a:p>
        </c:rich>
      </c:tx>
      <c:layout>
        <c:manualLayout>
          <c:xMode val="edge"/>
          <c:yMode val="edge"/>
          <c:x val="0.244417042978386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All!$Z$10:$Z$19</c:f>
              <c:numCache>
                <c:formatCode>0.0_ </c:formatCode>
                <c:ptCount val="10"/>
                <c:pt idx="0">
                  <c:v>2.151278</c:v>
                </c:pt>
                <c:pt idx="1">
                  <c:v>4.489236</c:v>
                </c:pt>
                <c:pt idx="2">
                  <c:v>6.823288</c:v>
                </c:pt>
                <c:pt idx="3">
                  <c:v>9.153053</c:v>
                </c:pt>
                <c:pt idx="4">
                  <c:v>11.478532</c:v>
                </c:pt>
                <c:pt idx="5">
                  <c:v>13.799723</c:v>
                </c:pt>
                <c:pt idx="6">
                  <c:v>16.116627</c:v>
                </c:pt>
                <c:pt idx="7">
                  <c:v>18.429245</c:v>
                </c:pt>
                <c:pt idx="8">
                  <c:v>20.737575</c:v>
                </c:pt>
                <c:pt idx="9">
                  <c:v>23.041618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All!$A$33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All!$Z$37:$Z$46</c:f>
              <c:numCache>
                <c:formatCode>0.0_ </c:formatCode>
                <c:ptCount val="10"/>
                <c:pt idx="0">
                  <c:v>2.851163</c:v>
                </c:pt>
                <c:pt idx="1">
                  <c:v>6.368047</c:v>
                </c:pt>
                <c:pt idx="2">
                  <c:v>9.877364</c:v>
                </c:pt>
                <c:pt idx="3">
                  <c:v>13.374462</c:v>
                </c:pt>
                <c:pt idx="4">
                  <c:v>16.859309</c:v>
                </c:pt>
                <c:pt idx="5">
                  <c:v>20.331905</c:v>
                </c:pt>
                <c:pt idx="6">
                  <c:v>23.79225</c:v>
                </c:pt>
                <c:pt idx="7">
                  <c:v>27.240345</c:v>
                </c:pt>
                <c:pt idx="8">
                  <c:v>30.676191</c:v>
                </c:pt>
                <c:pt idx="9">
                  <c:v>34.099787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All!$A$60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All!$Z$64:$Z$73</c:f>
              <c:numCache>
                <c:formatCode>0.0_ </c:formatCode>
                <c:ptCount val="10"/>
                <c:pt idx="0">
                  <c:v>1.905799</c:v>
                </c:pt>
                <c:pt idx="1">
                  <c:v>4.171451</c:v>
                </c:pt>
                <c:pt idx="2">
                  <c:v>6.434259</c:v>
                </c:pt>
                <c:pt idx="3">
                  <c:v>8.692648</c:v>
                </c:pt>
                <c:pt idx="4">
                  <c:v>10.946612</c:v>
                </c:pt>
                <c:pt idx="5">
                  <c:v>13.196151</c:v>
                </c:pt>
                <c:pt idx="6">
                  <c:v>15.441264</c:v>
                </c:pt>
                <c:pt idx="7">
                  <c:v>17.681953</c:v>
                </c:pt>
                <c:pt idx="8">
                  <c:v>19.918216</c:v>
                </c:pt>
                <c:pt idx="9">
                  <c:v>22.150054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Extended Range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7"/>
              <c:y val="0.3614464936736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Extended Flight Range vs. ABU Mission Energy</a:t>
            </a:r>
            <a:endParaRPr sz="1800"/>
          </a:p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800"/>
              <a:t>3000 ft - 60 miles</a:t>
            </a:r>
            <a:endParaRPr sz="1800"/>
          </a:p>
        </c:rich>
      </c:tx>
      <c:layout>
        <c:manualLayout>
          <c:xMode val="edge"/>
          <c:yMode val="edge"/>
          <c:x val="0.244417042978386"/>
          <c:y val="0.034988227266945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"Archer Midnight"</c:f>
              <c:strCache>
                <c:ptCount val="1"/>
                <c:pt idx="0">
                  <c:v>Archer Midnight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All!$Z$21:$Z$30</c:f>
              <c:numCache>
                <c:formatCode>0.0_ </c:formatCode>
                <c:ptCount val="10"/>
                <c:pt idx="0">
                  <c:v>2.22259</c:v>
                </c:pt>
                <c:pt idx="1">
                  <c:v>4.622378</c:v>
                </c:pt>
                <c:pt idx="2">
                  <c:v>7.018467</c:v>
                </c:pt>
                <c:pt idx="3">
                  <c:v>9.410486</c:v>
                </c:pt>
                <c:pt idx="4">
                  <c:v>11.798436</c:v>
                </c:pt>
                <c:pt idx="5">
                  <c:v>14.182316</c:v>
                </c:pt>
                <c:pt idx="6">
                  <c:v>16.562126</c:v>
                </c:pt>
                <c:pt idx="7">
                  <c:v>18.937867</c:v>
                </c:pt>
                <c:pt idx="8">
                  <c:v>21.309537</c:v>
                </c:pt>
                <c:pt idx="9">
                  <c:v>23.677139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All!$A$33</c:f>
              <c:strCache>
                <c:ptCount val="1"/>
                <c:pt idx="0">
                  <c:v>Joby S4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All!$Z$48:$Z$57</c:f>
              <c:numCache>
                <c:formatCode>0.0_ </c:formatCode>
                <c:ptCount val="10"/>
                <c:pt idx="0">
                  <c:v>2.935156</c:v>
                </c:pt>
                <c:pt idx="1">
                  <c:v>6.496478</c:v>
                </c:pt>
                <c:pt idx="2">
                  <c:v>10.050871</c:v>
                </c:pt>
                <c:pt idx="3">
                  <c:v>13.593863</c:v>
                </c:pt>
                <c:pt idx="4">
                  <c:v>17.125423</c:v>
                </c:pt>
                <c:pt idx="5">
                  <c:v>20.645552</c:v>
                </c:pt>
                <c:pt idx="6">
                  <c:v>24.15425</c:v>
                </c:pt>
                <c:pt idx="7">
                  <c:v>27.651516</c:v>
                </c:pt>
                <c:pt idx="8">
                  <c:v>31.137353</c:v>
                </c:pt>
                <c:pt idx="9">
                  <c:v>34.611759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All!$A$60</c:f>
              <c:strCache>
                <c:ptCount val="1"/>
                <c:pt idx="0">
                  <c:v>Supernal S-A2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All!$B$10:$B$19</c:f>
              <c:numCache>
                <c:formatCode>General</c:formatCode>
                <c:ptCount val="10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</c:numCache>
            </c:numRef>
          </c:cat>
          <c:val>
            <c:numRef>
              <c:f>All!$Z$75:$Z$84</c:f>
              <c:numCache>
                <c:formatCode>0.0_ </c:formatCode>
                <c:ptCount val="10"/>
                <c:pt idx="0">
                  <c:v>1.980033</c:v>
                </c:pt>
                <c:pt idx="1">
                  <c:v>4.298985</c:v>
                </c:pt>
                <c:pt idx="2">
                  <c:v>6.615289</c:v>
                </c:pt>
                <c:pt idx="3">
                  <c:v>8.927428</c:v>
                </c:pt>
                <c:pt idx="4">
                  <c:v>11.235395</c:v>
                </c:pt>
                <c:pt idx="5">
                  <c:v>13.539191</c:v>
                </c:pt>
                <c:pt idx="6">
                  <c:v>15.838816</c:v>
                </c:pt>
                <c:pt idx="7">
                  <c:v>18.13427</c:v>
                </c:pt>
                <c:pt idx="8">
                  <c:v>20.425553</c:v>
                </c:pt>
                <c:pt idx="9">
                  <c:v>22.712664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9040188"/>
        <c:axId val="704606921"/>
      </c:lineChart>
      <c:catAx>
        <c:axId val="1904018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ABU Mission Energy (kWh)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367793524899233"/>
              <c:y val="0.939845592965902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4606921"/>
        <c:crosses val="autoZero"/>
        <c:auto val="1"/>
        <c:lblAlgn val="ctr"/>
        <c:lblOffset val="100"/>
        <c:noMultiLvlLbl val="0"/>
      </c:catAx>
      <c:valAx>
        <c:axId val="7046069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sz="1400"/>
                  <a:t>Extended Range (miles)</a:t>
                </a:r>
                <a:endParaRPr sz="1400"/>
              </a:p>
            </c:rich>
          </c:tx>
          <c:layout>
            <c:manualLayout>
              <c:xMode val="edge"/>
              <c:yMode val="edge"/>
              <c:x val="0.00962163567806527"/>
              <c:y val="0.361446493673601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0401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5987ec-ff4c-42c4-8f92-2cfbec8f2b9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26</xdr:col>
      <xdr:colOff>849630</xdr:colOff>
      <xdr:row>3</xdr:row>
      <xdr:rowOff>385445</xdr:rowOff>
    </xdr:from>
    <xdr:to>
      <xdr:col>41</xdr:col>
      <xdr:colOff>574675</xdr:colOff>
      <xdr:row>29</xdr:row>
      <xdr:rowOff>177165</xdr:rowOff>
    </xdr:to>
    <xdr:graphicFrame>
      <xdr:nvGraphicFramePr>
        <xdr:cNvPr id="4" name="Chart 3"/>
        <xdr:cNvGraphicFramePr/>
      </xdr:nvGraphicFramePr>
      <xdr:xfrm>
        <a:off x="23633430" y="2369185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854710</xdr:colOff>
      <xdr:row>31</xdr:row>
      <xdr:rowOff>146685</xdr:rowOff>
    </xdr:from>
    <xdr:to>
      <xdr:col>41</xdr:col>
      <xdr:colOff>579755</xdr:colOff>
      <xdr:row>58</xdr:row>
      <xdr:rowOff>93345</xdr:rowOff>
    </xdr:to>
    <xdr:graphicFrame>
      <xdr:nvGraphicFramePr>
        <xdr:cNvPr id="6" name="Chart 5"/>
        <xdr:cNvGraphicFramePr/>
      </xdr:nvGraphicFramePr>
      <xdr:xfrm>
        <a:off x="23638510" y="8648065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852170</xdr:colOff>
      <xdr:row>60</xdr:row>
      <xdr:rowOff>90805</xdr:rowOff>
    </xdr:from>
    <xdr:to>
      <xdr:col>41</xdr:col>
      <xdr:colOff>577215</xdr:colOff>
      <xdr:row>87</xdr:row>
      <xdr:rowOff>37465</xdr:rowOff>
    </xdr:to>
    <xdr:graphicFrame>
      <xdr:nvGraphicFramePr>
        <xdr:cNvPr id="7" name="Chart 6"/>
        <xdr:cNvGraphicFramePr/>
      </xdr:nvGraphicFramePr>
      <xdr:xfrm>
        <a:off x="23635970" y="14954885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42</xdr:col>
      <xdr:colOff>390525</xdr:colOff>
      <xdr:row>3</xdr:row>
      <xdr:rowOff>372110</xdr:rowOff>
    </xdr:from>
    <xdr:to>
      <xdr:col>58</xdr:col>
      <xdr:colOff>328930</xdr:colOff>
      <xdr:row>29</xdr:row>
      <xdr:rowOff>163830</xdr:rowOff>
    </xdr:to>
    <xdr:graphicFrame>
      <xdr:nvGraphicFramePr>
        <xdr:cNvPr id="8" name="Chart 7"/>
        <xdr:cNvGraphicFramePr/>
      </xdr:nvGraphicFramePr>
      <xdr:xfrm>
        <a:off x="33880425" y="235585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59</xdr:col>
      <xdr:colOff>121285</xdr:colOff>
      <xdr:row>3</xdr:row>
      <xdr:rowOff>346710</xdr:rowOff>
    </xdr:from>
    <xdr:to>
      <xdr:col>75</xdr:col>
      <xdr:colOff>59690</xdr:colOff>
      <xdr:row>29</xdr:row>
      <xdr:rowOff>138430</xdr:rowOff>
    </xdr:to>
    <xdr:graphicFrame>
      <xdr:nvGraphicFramePr>
        <xdr:cNvPr id="9" name="Chart 8"/>
        <xdr:cNvGraphicFramePr/>
      </xdr:nvGraphicFramePr>
      <xdr:xfrm>
        <a:off x="44103925" y="233045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456565</xdr:colOff>
      <xdr:row>32</xdr:row>
      <xdr:rowOff>11430</xdr:rowOff>
    </xdr:from>
    <xdr:to>
      <xdr:col>58</xdr:col>
      <xdr:colOff>394970</xdr:colOff>
      <xdr:row>58</xdr:row>
      <xdr:rowOff>140970</xdr:rowOff>
    </xdr:to>
    <xdr:graphicFrame>
      <xdr:nvGraphicFramePr>
        <xdr:cNvPr id="10" name="Chart 9"/>
        <xdr:cNvGraphicFramePr/>
      </xdr:nvGraphicFramePr>
      <xdr:xfrm>
        <a:off x="33946465" y="869569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59</xdr:col>
      <xdr:colOff>164465</xdr:colOff>
      <xdr:row>32</xdr:row>
      <xdr:rowOff>24130</xdr:rowOff>
    </xdr:from>
    <xdr:to>
      <xdr:col>75</xdr:col>
      <xdr:colOff>102870</xdr:colOff>
      <xdr:row>58</xdr:row>
      <xdr:rowOff>153670</xdr:rowOff>
    </xdr:to>
    <xdr:graphicFrame>
      <xdr:nvGraphicFramePr>
        <xdr:cNvPr id="11" name="Chart 10"/>
        <xdr:cNvGraphicFramePr/>
      </xdr:nvGraphicFramePr>
      <xdr:xfrm>
        <a:off x="44147105" y="870839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42</xdr:col>
      <xdr:colOff>469265</xdr:colOff>
      <xdr:row>60</xdr:row>
      <xdr:rowOff>214630</xdr:rowOff>
    </xdr:from>
    <xdr:to>
      <xdr:col>58</xdr:col>
      <xdr:colOff>407670</xdr:colOff>
      <xdr:row>87</xdr:row>
      <xdr:rowOff>161290</xdr:rowOff>
    </xdr:to>
    <xdr:graphicFrame>
      <xdr:nvGraphicFramePr>
        <xdr:cNvPr id="12" name="Chart 11"/>
        <xdr:cNvGraphicFramePr/>
      </xdr:nvGraphicFramePr>
      <xdr:xfrm>
        <a:off x="33959165" y="1507871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59</xdr:col>
      <xdr:colOff>291465</xdr:colOff>
      <xdr:row>60</xdr:row>
      <xdr:rowOff>303530</xdr:rowOff>
    </xdr:from>
    <xdr:to>
      <xdr:col>75</xdr:col>
      <xdr:colOff>229870</xdr:colOff>
      <xdr:row>88</xdr:row>
      <xdr:rowOff>67310</xdr:rowOff>
    </xdr:to>
    <xdr:graphicFrame>
      <xdr:nvGraphicFramePr>
        <xdr:cNvPr id="13" name="Chart 12"/>
        <xdr:cNvGraphicFramePr/>
      </xdr:nvGraphicFramePr>
      <xdr:xfrm>
        <a:off x="44274105" y="15167610"/>
        <a:ext cx="9813925" cy="594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84"/>
  <sheetViews>
    <sheetView tabSelected="1" zoomScale="70" zoomScaleNormal="70" workbookViewId="0">
      <selection activeCell="I3" sqref="I3"/>
    </sheetView>
  </sheetViews>
  <sheetFormatPr defaultColWidth="9" defaultRowHeight="14.4"/>
  <cols>
    <col min="1" max="5" width="12.7777777777778" style="1" customWidth="1"/>
    <col min="6" max="18" width="12.7777777777778" style="2" customWidth="1"/>
    <col min="19" max="27" width="12.7777777777778" style="1" customWidth="1"/>
    <col min="28" max="28" width="9" style="1"/>
    <col min="29" max="29" width="10.6666666666667" style="1"/>
    <col min="30" max="37" width="9.66666666666667" style="1"/>
    <col min="38" max="39" width="9" style="1"/>
    <col min="40" max="41" width="9.66666666666667" style="1"/>
    <col min="42" max="16384" width="9" style="1"/>
  </cols>
  <sheetData>
    <row r="1" spans="1:5">
      <c r="A1" s="3" t="s">
        <v>0</v>
      </c>
      <c r="E1" s="2"/>
    </row>
    <row r="2" ht="100.8" spans="1:5">
      <c r="A2" s="4"/>
      <c r="B2" s="5" t="s">
        <v>1</v>
      </c>
      <c r="C2" s="5" t="s">
        <v>2</v>
      </c>
      <c r="D2" s="5" t="s">
        <v>3</v>
      </c>
      <c r="E2" s="6" t="s">
        <v>4</v>
      </c>
    </row>
    <row r="3" ht="41" customHeight="1" spans="1:17">
      <c r="A3" s="7" t="s">
        <v>5</v>
      </c>
      <c r="B3" s="2" t="s">
        <v>6</v>
      </c>
      <c r="C3" s="2" t="s">
        <v>7</v>
      </c>
      <c r="D3" s="2" t="s">
        <v>8</v>
      </c>
      <c r="E3" s="8" t="s">
        <v>9</v>
      </c>
      <c r="G3" s="9" t="s">
        <v>10</v>
      </c>
      <c r="Q3" s="59"/>
    </row>
    <row r="4" ht="41" customHeight="1" spans="1:5">
      <c r="A4" s="10" t="s">
        <v>11</v>
      </c>
      <c r="B4" s="11">
        <v>1</v>
      </c>
      <c r="C4" s="11">
        <f>1*B4</f>
        <v>1</v>
      </c>
      <c r="D4" s="12">
        <v>0.2</v>
      </c>
      <c r="E4" s="13">
        <v>0.05</v>
      </c>
    </row>
    <row r="5" spans="10:14">
      <c r="J5" s="1"/>
      <c r="K5" s="1"/>
      <c r="L5" s="1"/>
      <c r="M5" s="1"/>
      <c r="N5" s="1"/>
    </row>
    <row r="6" spans="1:2">
      <c r="A6" s="14" t="s">
        <v>12</v>
      </c>
      <c r="B6" s="14"/>
    </row>
    <row r="7" ht="27" customHeight="1" spans="1:26">
      <c r="A7" s="15" t="s">
        <v>13</v>
      </c>
      <c r="B7" s="16" t="s">
        <v>14</v>
      </c>
      <c r="C7" s="17" t="s">
        <v>15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44"/>
    </row>
    <row r="8" ht="27" customHeight="1" spans="1:26">
      <c r="A8" s="19"/>
      <c r="B8" s="20"/>
      <c r="C8" s="17" t="s">
        <v>16</v>
      </c>
      <c r="D8" s="18"/>
      <c r="E8" s="18"/>
      <c r="F8" s="18"/>
      <c r="G8" s="18"/>
      <c r="H8" s="18"/>
      <c r="I8" s="18"/>
      <c r="J8" s="44"/>
      <c r="K8" s="17" t="s">
        <v>17</v>
      </c>
      <c r="L8" s="18"/>
      <c r="M8" s="18"/>
      <c r="N8" s="18"/>
      <c r="O8" s="18"/>
      <c r="P8" s="18"/>
      <c r="Q8" s="18"/>
      <c r="R8" s="44"/>
      <c r="S8" s="60" t="s">
        <v>18</v>
      </c>
      <c r="T8" s="61"/>
      <c r="U8" s="61"/>
      <c r="V8" s="61"/>
      <c r="W8" s="61"/>
      <c r="X8" s="61"/>
      <c r="Y8" s="61"/>
      <c r="Z8" s="78"/>
    </row>
    <row r="9" ht="60" customHeight="1" spans="1:26">
      <c r="A9" s="21"/>
      <c r="B9" s="22" t="s">
        <v>19</v>
      </c>
      <c r="C9" s="23" t="s">
        <v>20</v>
      </c>
      <c r="D9" s="24" t="s">
        <v>21</v>
      </c>
      <c r="E9" s="24" t="s">
        <v>22</v>
      </c>
      <c r="F9" s="24" t="s">
        <v>23</v>
      </c>
      <c r="G9" s="24" t="s">
        <v>24</v>
      </c>
      <c r="H9" s="24" t="s">
        <v>25</v>
      </c>
      <c r="I9" s="24" t="s">
        <v>26</v>
      </c>
      <c r="J9" s="45" t="s">
        <v>27</v>
      </c>
      <c r="K9" s="46" t="s">
        <v>20</v>
      </c>
      <c r="L9" s="24" t="s">
        <v>21</v>
      </c>
      <c r="M9" s="24" t="s">
        <v>22</v>
      </c>
      <c r="N9" s="24" t="s">
        <v>23</v>
      </c>
      <c r="O9" s="24" t="s">
        <v>24</v>
      </c>
      <c r="P9" s="24" t="s">
        <v>25</v>
      </c>
      <c r="Q9" s="24" t="s">
        <v>26</v>
      </c>
      <c r="R9" s="45" t="s">
        <v>27</v>
      </c>
      <c r="S9" s="46" t="s">
        <v>20</v>
      </c>
      <c r="T9" s="62" t="s">
        <v>21</v>
      </c>
      <c r="U9" s="63" t="s">
        <v>22</v>
      </c>
      <c r="V9" s="63" t="s">
        <v>23</v>
      </c>
      <c r="W9" s="63" t="s">
        <v>24</v>
      </c>
      <c r="X9" s="63" t="s">
        <v>25</v>
      </c>
      <c r="Y9" s="63" t="s">
        <v>26</v>
      </c>
      <c r="Z9" s="79" t="s">
        <v>27</v>
      </c>
    </row>
    <row r="10" spans="1:26">
      <c r="A10" s="25" t="s">
        <v>28</v>
      </c>
      <c r="B10" s="26">
        <v>5</v>
      </c>
      <c r="C10" s="27">
        <v>36.57979</v>
      </c>
      <c r="D10" s="28">
        <v>53.785563</v>
      </c>
      <c r="E10" s="28">
        <v>41.341488</v>
      </c>
      <c r="F10" s="28">
        <v>41.855502</v>
      </c>
      <c r="G10" s="28">
        <v>5</v>
      </c>
      <c r="H10" s="28">
        <v>4.485986</v>
      </c>
      <c r="I10" s="28">
        <v>60.548867</v>
      </c>
      <c r="J10" s="47">
        <v>2.524524</v>
      </c>
      <c r="K10" s="48">
        <v>36.57979</v>
      </c>
      <c r="L10" s="28">
        <v>53.785563</v>
      </c>
      <c r="M10" s="28">
        <v>68.013416</v>
      </c>
      <c r="N10" s="28">
        <v>68.859052</v>
      </c>
      <c r="O10" s="28">
        <v>5</v>
      </c>
      <c r="P10" s="28">
        <v>4.154364</v>
      </c>
      <c r="Q10" s="28">
        <v>56.072854</v>
      </c>
      <c r="R10" s="47">
        <v>2.337901</v>
      </c>
      <c r="S10" s="64">
        <v>36.57979</v>
      </c>
      <c r="T10" s="65">
        <v>53.785563</v>
      </c>
      <c r="U10" s="28">
        <v>94.685344</v>
      </c>
      <c r="V10" s="66">
        <v>95.862601</v>
      </c>
      <c r="W10" s="66">
        <v>5</v>
      </c>
      <c r="X10" s="66">
        <v>3.822742</v>
      </c>
      <c r="Y10" s="66">
        <v>51.596842</v>
      </c>
      <c r="Z10" s="80">
        <v>2.151278</v>
      </c>
    </row>
    <row r="11" spans="1:26">
      <c r="A11" s="25"/>
      <c r="B11" s="26">
        <v>10</v>
      </c>
      <c r="C11" s="27">
        <v>67.062948</v>
      </c>
      <c r="D11" s="28">
        <v>91.995801</v>
      </c>
      <c r="E11" s="28"/>
      <c r="F11" s="28">
        <v>42.22468</v>
      </c>
      <c r="G11" s="28">
        <v>10</v>
      </c>
      <c r="H11" s="28">
        <v>9.116808</v>
      </c>
      <c r="I11" s="28">
        <v>123.052635</v>
      </c>
      <c r="J11" s="47">
        <v>5.130556</v>
      </c>
      <c r="K11" s="48">
        <v>67.062948</v>
      </c>
      <c r="L11" s="28">
        <v>91.995801</v>
      </c>
      <c r="M11" s="28"/>
      <c r="N11" s="28">
        <v>69.466409</v>
      </c>
      <c r="O11" s="28">
        <v>10</v>
      </c>
      <c r="P11" s="28">
        <v>8.547007</v>
      </c>
      <c r="Q11" s="28">
        <v>115.361837</v>
      </c>
      <c r="R11" s="47">
        <v>4.809896</v>
      </c>
      <c r="S11" s="64">
        <v>67.062948</v>
      </c>
      <c r="T11" s="65">
        <v>91.995801</v>
      </c>
      <c r="U11" s="28"/>
      <c r="V11" s="66">
        <v>96.708137</v>
      </c>
      <c r="W11" s="66">
        <v>10</v>
      </c>
      <c r="X11" s="66">
        <v>7.977206</v>
      </c>
      <c r="Y11" s="66">
        <v>107.67104</v>
      </c>
      <c r="Z11" s="80">
        <v>4.489236</v>
      </c>
    </row>
    <row r="12" spans="1:26">
      <c r="A12" s="25"/>
      <c r="B12" s="26">
        <v>15</v>
      </c>
      <c r="C12" s="27">
        <v>97.546106</v>
      </c>
      <c r="D12" s="28">
        <v>130.175022</v>
      </c>
      <c r="E12" s="28"/>
      <c r="F12" s="28">
        <v>42.596887</v>
      </c>
      <c r="G12" s="28">
        <v>15</v>
      </c>
      <c r="H12" s="28">
        <v>13.744601</v>
      </c>
      <c r="I12" s="28">
        <v>185.515508</v>
      </c>
      <c r="J12" s="47">
        <v>7.734883</v>
      </c>
      <c r="K12" s="48">
        <v>97.546106</v>
      </c>
      <c r="L12" s="28">
        <v>130.175022</v>
      </c>
      <c r="M12" s="28"/>
      <c r="N12" s="28">
        <v>70.07875</v>
      </c>
      <c r="O12" s="28">
        <v>15</v>
      </c>
      <c r="P12" s="28">
        <v>12.934666</v>
      </c>
      <c r="Q12" s="28">
        <v>174.583542</v>
      </c>
      <c r="R12" s="47">
        <v>7.279085</v>
      </c>
      <c r="S12" s="64">
        <v>97.546106</v>
      </c>
      <c r="T12" s="65">
        <v>130.175022</v>
      </c>
      <c r="U12" s="28"/>
      <c r="V12" s="66">
        <v>97.560613</v>
      </c>
      <c r="W12" s="66">
        <v>15</v>
      </c>
      <c r="X12" s="66">
        <v>12.124731</v>
      </c>
      <c r="Y12" s="66">
        <v>163.651575</v>
      </c>
      <c r="Z12" s="80">
        <v>6.823288</v>
      </c>
    </row>
    <row r="13" spans="1:26">
      <c r="A13" s="25"/>
      <c r="B13" s="26">
        <v>20</v>
      </c>
      <c r="C13" s="27">
        <v>128.029264</v>
      </c>
      <c r="D13" s="28">
        <v>168.35399</v>
      </c>
      <c r="E13" s="28"/>
      <c r="F13" s="28">
        <v>42.972421</v>
      </c>
      <c r="G13" s="28">
        <v>20</v>
      </c>
      <c r="H13" s="28">
        <v>18.369067</v>
      </c>
      <c r="I13" s="28">
        <v>247.933494</v>
      </c>
      <c r="J13" s="47">
        <v>10.337338</v>
      </c>
      <c r="K13" s="48">
        <v>128.029264</v>
      </c>
      <c r="L13" s="28">
        <v>168.35399</v>
      </c>
      <c r="M13" s="28"/>
      <c r="N13" s="28">
        <v>70.696563</v>
      </c>
      <c r="O13" s="28">
        <v>20</v>
      </c>
      <c r="P13" s="28">
        <v>17.316853</v>
      </c>
      <c r="Q13" s="28">
        <v>233.731398</v>
      </c>
      <c r="R13" s="47">
        <v>9.745196</v>
      </c>
      <c r="S13" s="64">
        <v>128.029264</v>
      </c>
      <c r="T13" s="65">
        <v>168.35399</v>
      </c>
      <c r="U13" s="28"/>
      <c r="V13" s="66">
        <v>98.420706</v>
      </c>
      <c r="W13" s="66">
        <v>20</v>
      </c>
      <c r="X13" s="66">
        <v>16.264638</v>
      </c>
      <c r="Y13" s="66">
        <v>219.529303</v>
      </c>
      <c r="Z13" s="80">
        <v>9.153053</v>
      </c>
    </row>
    <row r="14" spans="1:26">
      <c r="A14" s="25"/>
      <c r="B14" s="26">
        <v>25</v>
      </c>
      <c r="C14" s="27">
        <v>158.512422</v>
      </c>
      <c r="D14" s="28">
        <v>206.532766</v>
      </c>
      <c r="E14" s="28"/>
      <c r="F14" s="28">
        <v>43.35128</v>
      </c>
      <c r="G14" s="28">
        <v>25</v>
      </c>
      <c r="H14" s="28">
        <v>22.990208</v>
      </c>
      <c r="I14" s="28">
        <v>310.306584</v>
      </c>
      <c r="J14" s="47">
        <v>12.937921</v>
      </c>
      <c r="K14" s="48">
        <v>158.512422</v>
      </c>
      <c r="L14" s="28">
        <v>206.532766</v>
      </c>
      <c r="M14" s="28"/>
      <c r="N14" s="28">
        <v>71.319848</v>
      </c>
      <c r="O14" s="28">
        <v>25</v>
      </c>
      <c r="P14" s="28">
        <v>21.693568</v>
      </c>
      <c r="Q14" s="28">
        <v>292.805395</v>
      </c>
      <c r="R14" s="47">
        <v>12.208226</v>
      </c>
      <c r="S14" s="64">
        <v>158.512422</v>
      </c>
      <c r="T14" s="65">
        <v>206.532766</v>
      </c>
      <c r="U14" s="28"/>
      <c r="V14" s="66">
        <v>99.288416</v>
      </c>
      <c r="W14" s="66">
        <v>25</v>
      </c>
      <c r="X14" s="66">
        <v>20.396927</v>
      </c>
      <c r="Y14" s="66">
        <v>275.304206</v>
      </c>
      <c r="Z14" s="80">
        <v>11.478532</v>
      </c>
    </row>
    <row r="15" spans="1:26">
      <c r="A15" s="25"/>
      <c r="B15" s="26">
        <v>30</v>
      </c>
      <c r="C15" s="27">
        <v>188.99558</v>
      </c>
      <c r="D15" s="28">
        <v>244.711354</v>
      </c>
      <c r="E15" s="28"/>
      <c r="F15" s="28">
        <v>43.733466</v>
      </c>
      <c r="G15" s="28">
        <v>30</v>
      </c>
      <c r="H15" s="28">
        <v>27.608022</v>
      </c>
      <c r="I15" s="28">
        <v>372.634779</v>
      </c>
      <c r="J15" s="47">
        <v>15.536632</v>
      </c>
      <c r="K15" s="48">
        <v>188.99558</v>
      </c>
      <c r="L15" s="28">
        <v>244.711354</v>
      </c>
      <c r="M15" s="28"/>
      <c r="N15" s="28">
        <v>71.948605</v>
      </c>
      <c r="O15" s="28">
        <v>30</v>
      </c>
      <c r="P15" s="28">
        <v>26.06481</v>
      </c>
      <c r="Q15" s="28">
        <v>351.805532</v>
      </c>
      <c r="R15" s="47">
        <v>14.668178</v>
      </c>
      <c r="S15" s="64">
        <v>188.99558</v>
      </c>
      <c r="T15" s="65">
        <v>244.711354</v>
      </c>
      <c r="U15" s="28"/>
      <c r="V15" s="66">
        <v>100.163745</v>
      </c>
      <c r="W15" s="66">
        <v>30</v>
      </c>
      <c r="X15" s="66">
        <v>24.521599</v>
      </c>
      <c r="Y15" s="66">
        <v>330.976284</v>
      </c>
      <c r="Z15" s="80">
        <v>13.799723</v>
      </c>
    </row>
    <row r="16" spans="1:26">
      <c r="A16" s="25"/>
      <c r="B16" s="26">
        <v>35</v>
      </c>
      <c r="C16" s="27">
        <v>219.478738</v>
      </c>
      <c r="D16" s="28">
        <v>282.889757</v>
      </c>
      <c r="E16" s="28"/>
      <c r="F16" s="28">
        <v>44.118978</v>
      </c>
      <c r="G16" s="28">
        <v>35</v>
      </c>
      <c r="H16" s="28">
        <v>32.22251</v>
      </c>
      <c r="I16" s="28">
        <v>434.91808</v>
      </c>
      <c r="J16" s="47">
        <v>18.133472</v>
      </c>
      <c r="K16" s="48">
        <v>219.478738</v>
      </c>
      <c r="L16" s="28">
        <v>282.889757</v>
      </c>
      <c r="M16" s="28"/>
      <c r="N16" s="28">
        <v>72.582835</v>
      </c>
      <c r="O16" s="28">
        <v>35</v>
      </c>
      <c r="P16" s="28">
        <v>30.430581</v>
      </c>
      <c r="Q16" s="28">
        <v>410.73181</v>
      </c>
      <c r="R16" s="47">
        <v>17.12505</v>
      </c>
      <c r="S16" s="64">
        <v>219.478738</v>
      </c>
      <c r="T16" s="65">
        <v>282.889757</v>
      </c>
      <c r="U16" s="28"/>
      <c r="V16" s="66">
        <v>101.046692</v>
      </c>
      <c r="W16" s="66">
        <v>35</v>
      </c>
      <c r="X16" s="66">
        <v>28.638652</v>
      </c>
      <c r="Y16" s="66">
        <v>386.54554</v>
      </c>
      <c r="Z16" s="80">
        <v>16.116627</v>
      </c>
    </row>
    <row r="17" spans="1:26">
      <c r="A17" s="25"/>
      <c r="B17" s="26">
        <v>40</v>
      </c>
      <c r="C17" s="27">
        <v>249.961896</v>
      </c>
      <c r="D17" s="28">
        <v>321.067976</v>
      </c>
      <c r="E17" s="28"/>
      <c r="F17" s="28">
        <v>44.507816</v>
      </c>
      <c r="G17" s="28">
        <v>40</v>
      </c>
      <c r="H17" s="28">
        <v>36.833672</v>
      </c>
      <c r="I17" s="28">
        <v>497.156486</v>
      </c>
      <c r="J17" s="47">
        <v>20.72844</v>
      </c>
      <c r="K17" s="48">
        <v>249.961896</v>
      </c>
      <c r="L17" s="28">
        <v>321.067976</v>
      </c>
      <c r="M17" s="28"/>
      <c r="N17" s="28">
        <v>73.222536</v>
      </c>
      <c r="O17" s="28">
        <v>40</v>
      </c>
      <c r="P17" s="28">
        <v>34.79088</v>
      </c>
      <c r="Q17" s="28">
        <v>469.584229</v>
      </c>
      <c r="R17" s="47">
        <v>19.578842</v>
      </c>
      <c r="S17" s="64">
        <v>249.961896</v>
      </c>
      <c r="T17" s="65">
        <v>321.067976</v>
      </c>
      <c r="U17" s="28"/>
      <c r="V17" s="66">
        <v>101.937256</v>
      </c>
      <c r="W17" s="66">
        <v>40</v>
      </c>
      <c r="X17" s="66">
        <v>32.748087</v>
      </c>
      <c r="Y17" s="66">
        <v>442.011973</v>
      </c>
      <c r="Z17" s="80">
        <v>18.429245</v>
      </c>
    </row>
    <row r="18" spans="1:26">
      <c r="A18" s="25"/>
      <c r="B18" s="26">
        <v>45</v>
      </c>
      <c r="C18" s="27">
        <v>280.445054</v>
      </c>
      <c r="D18" s="28">
        <v>359.246015</v>
      </c>
      <c r="E18" s="28"/>
      <c r="F18" s="28">
        <v>44.89998</v>
      </c>
      <c r="G18" s="28">
        <v>44.89998</v>
      </c>
      <c r="H18" s="28">
        <v>41.341488</v>
      </c>
      <c r="I18" s="49">
        <v>558</v>
      </c>
      <c r="J18" s="47">
        <v>23.265249</v>
      </c>
      <c r="K18" s="48">
        <v>280.445054</v>
      </c>
      <c r="L18" s="28">
        <v>359.246015</v>
      </c>
      <c r="M18" s="28"/>
      <c r="N18" s="28">
        <v>73.86771</v>
      </c>
      <c r="O18" s="28">
        <v>45</v>
      </c>
      <c r="P18" s="28">
        <v>39.145706</v>
      </c>
      <c r="Q18" s="28">
        <v>528.362791</v>
      </c>
      <c r="R18" s="47">
        <v>22.029555</v>
      </c>
      <c r="S18" s="64">
        <v>280.445054</v>
      </c>
      <c r="T18" s="65">
        <v>359.246015</v>
      </c>
      <c r="U18" s="28"/>
      <c r="V18" s="66">
        <v>102.835439</v>
      </c>
      <c r="W18" s="66">
        <v>45</v>
      </c>
      <c r="X18" s="66">
        <v>36.849905</v>
      </c>
      <c r="Y18" s="66">
        <v>497.375584</v>
      </c>
      <c r="Z18" s="80">
        <v>20.737575</v>
      </c>
    </row>
    <row r="19" spans="1:26">
      <c r="A19" s="29"/>
      <c r="B19" s="30">
        <v>50</v>
      </c>
      <c r="C19" s="31">
        <v>310.928212</v>
      </c>
      <c r="D19" s="32">
        <v>397.423876</v>
      </c>
      <c r="E19" s="32"/>
      <c r="F19" s="32">
        <v>45.295471</v>
      </c>
      <c r="G19" s="32">
        <v>45.295471</v>
      </c>
      <c r="H19" s="32">
        <v>41.341488</v>
      </c>
      <c r="I19" s="50">
        <v>558</v>
      </c>
      <c r="J19" s="51">
        <v>23.265249</v>
      </c>
      <c r="K19" s="52">
        <v>310.928212</v>
      </c>
      <c r="L19" s="32">
        <v>397.423876</v>
      </c>
      <c r="M19" s="32"/>
      <c r="N19" s="32">
        <v>74.518355</v>
      </c>
      <c r="O19" s="32">
        <v>50</v>
      </c>
      <c r="P19" s="32">
        <v>43.495061</v>
      </c>
      <c r="Q19" s="67">
        <v>587.067495</v>
      </c>
      <c r="R19" s="51">
        <v>24.477189</v>
      </c>
      <c r="S19" s="68">
        <v>310.928212</v>
      </c>
      <c r="T19" s="69">
        <v>397.423876</v>
      </c>
      <c r="U19" s="32"/>
      <c r="V19" s="70">
        <v>103.74124</v>
      </c>
      <c r="W19" s="70">
        <v>50</v>
      </c>
      <c r="X19" s="70">
        <v>40.944104</v>
      </c>
      <c r="Y19" s="70">
        <v>552.636374</v>
      </c>
      <c r="Z19" s="81">
        <v>23.041618</v>
      </c>
    </row>
    <row r="20" ht="27" customHeight="1" spans="1:26">
      <c r="A20" s="19"/>
      <c r="B20" s="20"/>
      <c r="C20" s="17" t="s">
        <v>29</v>
      </c>
      <c r="D20" s="18"/>
      <c r="E20" s="18"/>
      <c r="F20" s="18"/>
      <c r="G20" s="18"/>
      <c r="H20" s="18"/>
      <c r="I20" s="18"/>
      <c r="J20" s="44"/>
      <c r="K20" s="17" t="s">
        <v>30</v>
      </c>
      <c r="L20" s="18"/>
      <c r="M20" s="18"/>
      <c r="N20" s="18"/>
      <c r="O20" s="18"/>
      <c r="P20" s="18"/>
      <c r="Q20" s="18"/>
      <c r="R20" s="44"/>
      <c r="S20" s="17" t="s">
        <v>31</v>
      </c>
      <c r="T20" s="18"/>
      <c r="U20" s="18"/>
      <c r="V20" s="18"/>
      <c r="W20" s="18"/>
      <c r="X20" s="18"/>
      <c r="Y20" s="18"/>
      <c r="Z20" s="44"/>
    </row>
    <row r="21" spans="1:26">
      <c r="A21" s="33" t="s">
        <v>32</v>
      </c>
      <c r="B21" s="34">
        <v>5</v>
      </c>
      <c r="C21" s="35">
        <v>36.57979</v>
      </c>
      <c r="D21" s="36">
        <v>53.96177</v>
      </c>
      <c r="E21" s="36">
        <v>30.978339</v>
      </c>
      <c r="F21" s="36">
        <v>31.383966</v>
      </c>
      <c r="G21" s="36">
        <v>5</v>
      </c>
      <c r="H21" s="36">
        <v>4.594373</v>
      </c>
      <c r="I21" s="36">
        <v>62.734801</v>
      </c>
      <c r="J21" s="53">
        <v>2.615664</v>
      </c>
      <c r="K21" s="54">
        <v>36.57979</v>
      </c>
      <c r="L21" s="36">
        <v>53.96177</v>
      </c>
      <c r="M21" s="36">
        <v>57.342883</v>
      </c>
      <c r="N21" s="36">
        <v>58.093724</v>
      </c>
      <c r="O21" s="36">
        <v>5</v>
      </c>
      <c r="P21" s="36">
        <v>4.249159</v>
      </c>
      <c r="Q21" s="36">
        <v>58.021004</v>
      </c>
      <c r="R21" s="53">
        <v>2.419127</v>
      </c>
      <c r="S21" s="71">
        <v>36.57979</v>
      </c>
      <c r="T21" s="72">
        <v>53.96177</v>
      </c>
      <c r="U21" s="36">
        <v>83.707427</v>
      </c>
      <c r="V21" s="73">
        <v>84.803482</v>
      </c>
      <c r="W21" s="73">
        <v>5</v>
      </c>
      <c r="X21" s="73">
        <v>3.903945</v>
      </c>
      <c r="Y21" s="73">
        <v>53.307207</v>
      </c>
      <c r="Z21" s="82">
        <v>2.22259</v>
      </c>
    </row>
    <row r="22" spans="1:26">
      <c r="A22" s="37"/>
      <c r="B22" s="34">
        <v>10</v>
      </c>
      <c r="C22" s="35">
        <v>67.062948</v>
      </c>
      <c r="D22" s="36">
        <v>92.174688</v>
      </c>
      <c r="E22" s="36"/>
      <c r="F22" s="36">
        <v>31.674407</v>
      </c>
      <c r="G22" s="36">
        <v>10</v>
      </c>
      <c r="H22" s="36">
        <v>9.303932</v>
      </c>
      <c r="I22" s="36">
        <v>127.042418</v>
      </c>
      <c r="J22" s="53">
        <v>5.296906</v>
      </c>
      <c r="K22" s="54">
        <v>67.062948</v>
      </c>
      <c r="L22" s="36">
        <v>92.174688</v>
      </c>
      <c r="M22" s="36"/>
      <c r="N22" s="36">
        <v>58.63135</v>
      </c>
      <c r="O22" s="36">
        <v>10</v>
      </c>
      <c r="P22" s="36">
        <v>8.711533</v>
      </c>
      <c r="Q22" s="36">
        <v>118.953393</v>
      </c>
      <c r="R22" s="53">
        <v>4.959642</v>
      </c>
      <c r="S22" s="71">
        <v>67.062948</v>
      </c>
      <c r="T22" s="72">
        <v>92.174688</v>
      </c>
      <c r="U22" s="36"/>
      <c r="V22" s="73">
        <v>85.588292</v>
      </c>
      <c r="W22" s="73">
        <v>10</v>
      </c>
      <c r="X22" s="73">
        <v>8.119135</v>
      </c>
      <c r="Y22" s="73">
        <v>110.864367</v>
      </c>
      <c r="Z22" s="82">
        <v>4.622378</v>
      </c>
    </row>
    <row r="23" spans="1:26">
      <c r="A23" s="37"/>
      <c r="B23" s="34">
        <v>15</v>
      </c>
      <c r="C23" s="35">
        <v>97.546106</v>
      </c>
      <c r="D23" s="36">
        <v>130.355561</v>
      </c>
      <c r="E23" s="36"/>
      <c r="F23" s="36">
        <v>31.967254</v>
      </c>
      <c r="G23" s="36">
        <v>15</v>
      </c>
      <c r="H23" s="36">
        <v>14.011085</v>
      </c>
      <c r="I23" s="36">
        <v>191.317201</v>
      </c>
      <c r="J23" s="53">
        <v>7.976778</v>
      </c>
      <c r="K23" s="54">
        <v>97.546106</v>
      </c>
      <c r="L23" s="36">
        <v>130.355561</v>
      </c>
      <c r="M23" s="36"/>
      <c r="N23" s="36">
        <v>59.173427</v>
      </c>
      <c r="O23" s="36">
        <v>15</v>
      </c>
      <c r="P23" s="36">
        <v>13.169456</v>
      </c>
      <c r="Q23" s="36">
        <v>179.825002</v>
      </c>
      <c r="R23" s="53">
        <v>7.497623</v>
      </c>
      <c r="S23" s="71">
        <v>97.546106</v>
      </c>
      <c r="T23" s="72">
        <v>130.355561</v>
      </c>
      <c r="U23" s="36"/>
      <c r="V23" s="73">
        <v>86.3796</v>
      </c>
      <c r="W23" s="73">
        <v>15</v>
      </c>
      <c r="X23" s="73">
        <v>12.327827</v>
      </c>
      <c r="Y23" s="73">
        <v>168.332803</v>
      </c>
      <c r="Z23" s="82">
        <v>7.018467</v>
      </c>
    </row>
    <row r="24" spans="1:26">
      <c r="A24" s="37"/>
      <c r="B24" s="34">
        <v>20</v>
      </c>
      <c r="C24" s="35">
        <v>128.029264</v>
      </c>
      <c r="D24" s="36">
        <v>168.536171</v>
      </c>
      <c r="E24" s="36"/>
      <c r="F24" s="36">
        <v>32.262745</v>
      </c>
      <c r="G24" s="36">
        <v>20</v>
      </c>
      <c r="H24" s="36">
        <v>18.715594</v>
      </c>
      <c r="I24" s="36">
        <v>255.555867</v>
      </c>
      <c r="J24" s="53">
        <v>10.655145</v>
      </c>
      <c r="K24" s="54">
        <v>128.029264</v>
      </c>
      <c r="L24" s="36">
        <v>168.536171</v>
      </c>
      <c r="M24" s="36"/>
      <c r="N24" s="36">
        <v>59.7204</v>
      </c>
      <c r="O24" s="36">
        <v>20</v>
      </c>
      <c r="P24" s="36">
        <v>17.622483</v>
      </c>
      <c r="Q24" s="36">
        <v>240.629756</v>
      </c>
      <c r="R24" s="53">
        <v>10.032816</v>
      </c>
      <c r="S24" s="71">
        <v>128.029264</v>
      </c>
      <c r="T24" s="72">
        <v>168.536171</v>
      </c>
      <c r="U24" s="36"/>
      <c r="V24" s="73">
        <v>87.178056</v>
      </c>
      <c r="W24" s="73">
        <v>20</v>
      </c>
      <c r="X24" s="73">
        <v>16.529371</v>
      </c>
      <c r="Y24" s="73">
        <v>225.703645</v>
      </c>
      <c r="Z24" s="82">
        <v>9.410486</v>
      </c>
    </row>
    <row r="25" spans="1:26">
      <c r="A25" s="37"/>
      <c r="B25" s="34">
        <v>25</v>
      </c>
      <c r="C25" s="35">
        <v>158.512422</v>
      </c>
      <c r="D25" s="36">
        <v>206.716587</v>
      </c>
      <c r="E25" s="36"/>
      <c r="F25" s="36">
        <v>32.560882</v>
      </c>
      <c r="G25" s="36">
        <v>25</v>
      </c>
      <c r="H25" s="36">
        <v>23.417457</v>
      </c>
      <c r="I25" s="36">
        <v>319.758408</v>
      </c>
      <c r="J25" s="53">
        <v>13.332005</v>
      </c>
      <c r="K25" s="54">
        <v>158.512422</v>
      </c>
      <c r="L25" s="36">
        <v>206.716587</v>
      </c>
      <c r="M25" s="36"/>
      <c r="N25" s="36">
        <v>60.272271</v>
      </c>
      <c r="O25" s="36">
        <v>25</v>
      </c>
      <c r="P25" s="36">
        <v>22.070612</v>
      </c>
      <c r="Q25" s="36">
        <v>301.367642</v>
      </c>
      <c r="R25" s="53">
        <v>12.565221</v>
      </c>
      <c r="S25" s="71">
        <v>158.512422</v>
      </c>
      <c r="T25" s="72">
        <v>206.716587</v>
      </c>
      <c r="U25" s="36"/>
      <c r="V25" s="73">
        <v>87.98366</v>
      </c>
      <c r="W25" s="73">
        <v>25</v>
      </c>
      <c r="X25" s="73">
        <v>20.723767</v>
      </c>
      <c r="Y25" s="73">
        <v>282.976875</v>
      </c>
      <c r="Z25" s="82">
        <v>11.798436</v>
      </c>
    </row>
    <row r="26" spans="1:26">
      <c r="A26" s="37"/>
      <c r="B26" s="34">
        <v>30</v>
      </c>
      <c r="C26" s="35">
        <v>188.99558</v>
      </c>
      <c r="D26" s="36">
        <v>244.89681</v>
      </c>
      <c r="E26" s="36"/>
      <c r="F26" s="36">
        <v>32.861664</v>
      </c>
      <c r="G26" s="36">
        <v>30</v>
      </c>
      <c r="H26" s="36">
        <v>28.116675</v>
      </c>
      <c r="I26" s="36">
        <v>383.924826</v>
      </c>
      <c r="J26" s="53">
        <v>16.007359</v>
      </c>
      <c r="K26" s="54">
        <v>188.99558</v>
      </c>
      <c r="L26" s="36">
        <v>244.89681</v>
      </c>
      <c r="M26" s="36"/>
      <c r="N26" s="36">
        <v>60.829038</v>
      </c>
      <c r="O26" s="36">
        <v>30</v>
      </c>
      <c r="P26" s="36">
        <v>26.513845</v>
      </c>
      <c r="Q26" s="36">
        <v>362.03866</v>
      </c>
      <c r="R26" s="53">
        <v>15.094838</v>
      </c>
      <c r="S26" s="71">
        <v>188.99558</v>
      </c>
      <c r="T26" s="72">
        <v>244.89681</v>
      </c>
      <c r="U26" s="36"/>
      <c r="V26" s="73">
        <v>88.796412</v>
      </c>
      <c r="W26" s="73">
        <v>30</v>
      </c>
      <c r="X26" s="73">
        <v>24.911015</v>
      </c>
      <c r="Y26" s="73">
        <v>340.152495</v>
      </c>
      <c r="Z26" s="82">
        <v>14.182316</v>
      </c>
    </row>
    <row r="27" spans="1:26">
      <c r="A27" s="37"/>
      <c r="B27" s="34">
        <v>35</v>
      </c>
      <c r="C27" s="35">
        <v>219.478738</v>
      </c>
      <c r="D27" s="36">
        <v>283.076843</v>
      </c>
      <c r="E27" s="36"/>
      <c r="F27" s="36">
        <v>33.165092</v>
      </c>
      <c r="G27" s="36">
        <v>33.165092</v>
      </c>
      <c r="H27" s="36">
        <v>30.978339</v>
      </c>
      <c r="I27" s="55">
        <v>423</v>
      </c>
      <c r="J27" s="53">
        <v>17.63656</v>
      </c>
      <c r="K27" s="54">
        <v>219.478738</v>
      </c>
      <c r="L27" s="36">
        <v>283.076843</v>
      </c>
      <c r="M27" s="36"/>
      <c r="N27" s="36">
        <v>61.390703</v>
      </c>
      <c r="O27" s="36">
        <v>35</v>
      </c>
      <c r="P27" s="36">
        <v>30.95218</v>
      </c>
      <c r="Q27" s="36">
        <v>422.642812</v>
      </c>
      <c r="R27" s="53">
        <v>17.621667</v>
      </c>
      <c r="S27" s="71">
        <v>219.478738</v>
      </c>
      <c r="T27" s="72">
        <v>283.076843</v>
      </c>
      <c r="U27" s="36"/>
      <c r="V27" s="73">
        <v>89.616313</v>
      </c>
      <c r="W27" s="73">
        <v>35</v>
      </c>
      <c r="X27" s="73">
        <v>29.091114</v>
      </c>
      <c r="Y27" s="73">
        <v>397.230504</v>
      </c>
      <c r="Z27" s="82">
        <v>16.562126</v>
      </c>
    </row>
    <row r="28" spans="1:26">
      <c r="A28" s="37"/>
      <c r="B28" s="34">
        <v>40</v>
      </c>
      <c r="C28" s="35">
        <v>249.961896</v>
      </c>
      <c r="D28" s="36">
        <v>321.25669</v>
      </c>
      <c r="E28" s="36"/>
      <c r="F28" s="36">
        <v>33.471166</v>
      </c>
      <c r="G28" s="36">
        <v>33.471166</v>
      </c>
      <c r="H28" s="36">
        <v>30.978339</v>
      </c>
      <c r="I28" s="55">
        <v>423</v>
      </c>
      <c r="J28" s="53">
        <v>17.63656</v>
      </c>
      <c r="K28" s="54">
        <v>249.961896</v>
      </c>
      <c r="L28" s="36">
        <v>321.25669</v>
      </c>
      <c r="M28" s="36"/>
      <c r="N28" s="36">
        <v>61.957264</v>
      </c>
      <c r="O28" s="36">
        <v>40</v>
      </c>
      <c r="P28" s="36">
        <v>35.385619</v>
      </c>
      <c r="Q28" s="36">
        <v>483.180097</v>
      </c>
      <c r="R28" s="53">
        <v>20.145708</v>
      </c>
      <c r="S28" s="71">
        <v>249.961896</v>
      </c>
      <c r="T28" s="72">
        <v>321.25669</v>
      </c>
      <c r="U28" s="36"/>
      <c r="V28" s="73">
        <v>90.443362</v>
      </c>
      <c r="W28" s="73">
        <v>40</v>
      </c>
      <c r="X28" s="73">
        <v>33.264065</v>
      </c>
      <c r="Y28" s="73">
        <v>454.210903</v>
      </c>
      <c r="Z28" s="82">
        <v>18.937867</v>
      </c>
    </row>
    <row r="29" spans="1:26">
      <c r="A29" s="37"/>
      <c r="B29" s="34">
        <v>45</v>
      </c>
      <c r="C29" s="35">
        <v>280.445054</v>
      </c>
      <c r="D29" s="36">
        <v>359.436352</v>
      </c>
      <c r="E29" s="36"/>
      <c r="F29" s="36">
        <v>33.779884</v>
      </c>
      <c r="G29" s="36">
        <v>33.779884</v>
      </c>
      <c r="H29" s="36">
        <v>30.978339</v>
      </c>
      <c r="I29" s="55">
        <v>423</v>
      </c>
      <c r="J29" s="53">
        <v>17.63656</v>
      </c>
      <c r="K29" s="54">
        <v>280.445054</v>
      </c>
      <c r="L29" s="36">
        <v>359.436352</v>
      </c>
      <c r="M29" s="36"/>
      <c r="N29" s="36">
        <v>62.528722</v>
      </c>
      <c r="O29" s="36">
        <v>45</v>
      </c>
      <c r="P29" s="36">
        <v>39.814161</v>
      </c>
      <c r="Q29" s="36">
        <v>543.650517</v>
      </c>
      <c r="R29" s="53">
        <v>22.666961</v>
      </c>
      <c r="S29" s="71">
        <v>280.445054</v>
      </c>
      <c r="T29" s="72">
        <v>359.436352</v>
      </c>
      <c r="U29" s="36"/>
      <c r="V29" s="73">
        <v>91.27756</v>
      </c>
      <c r="W29" s="73">
        <v>45</v>
      </c>
      <c r="X29" s="73">
        <v>37.429867</v>
      </c>
      <c r="Y29" s="73">
        <v>511.093694</v>
      </c>
      <c r="Z29" s="82">
        <v>21.309537</v>
      </c>
    </row>
    <row r="30" spans="1:26">
      <c r="A30" s="38"/>
      <c r="B30" s="39">
        <v>50</v>
      </c>
      <c r="C30" s="40">
        <v>310.928212</v>
      </c>
      <c r="D30" s="41">
        <v>397.615832</v>
      </c>
      <c r="E30" s="41"/>
      <c r="F30" s="41">
        <v>34.091249</v>
      </c>
      <c r="G30" s="41">
        <v>34.091249</v>
      </c>
      <c r="H30" s="41">
        <v>30.978339</v>
      </c>
      <c r="I30" s="56">
        <v>423</v>
      </c>
      <c r="J30" s="57">
        <v>17.63656</v>
      </c>
      <c r="K30" s="58">
        <v>310.928212</v>
      </c>
      <c r="L30" s="41">
        <v>397.615832</v>
      </c>
      <c r="M30" s="41"/>
      <c r="N30" s="41">
        <v>63.105077</v>
      </c>
      <c r="O30" s="41">
        <v>50</v>
      </c>
      <c r="P30" s="41">
        <v>44.237806</v>
      </c>
      <c r="Q30" s="74">
        <v>604.054071</v>
      </c>
      <c r="R30" s="57">
        <v>25.185427</v>
      </c>
      <c r="S30" s="75">
        <v>310.928212</v>
      </c>
      <c r="T30" s="76">
        <v>397.615832</v>
      </c>
      <c r="U30" s="41"/>
      <c r="V30" s="77">
        <v>92.118906</v>
      </c>
      <c r="W30" s="77">
        <v>50</v>
      </c>
      <c r="X30" s="77">
        <v>41.588521</v>
      </c>
      <c r="Y30" s="77">
        <v>567.878876</v>
      </c>
      <c r="Z30" s="83">
        <v>23.677139</v>
      </c>
    </row>
    <row r="33" spans="1:2">
      <c r="A33" s="14" t="s">
        <v>33</v>
      </c>
      <c r="B33" s="14"/>
    </row>
    <row r="34" ht="27" customHeight="1" spans="1:26">
      <c r="A34" s="15" t="s">
        <v>13</v>
      </c>
      <c r="B34" s="15" t="s">
        <v>34</v>
      </c>
      <c r="C34" s="17" t="s">
        <v>15</v>
      </c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44"/>
    </row>
    <row r="35" ht="27" customHeight="1" spans="1:26">
      <c r="A35" s="19"/>
      <c r="B35" s="42"/>
      <c r="C35" s="17" t="s">
        <v>16</v>
      </c>
      <c r="D35" s="18"/>
      <c r="E35" s="18"/>
      <c r="F35" s="18"/>
      <c r="G35" s="18"/>
      <c r="H35" s="18"/>
      <c r="I35" s="18"/>
      <c r="J35" s="44"/>
      <c r="K35" s="17" t="s">
        <v>17</v>
      </c>
      <c r="L35" s="18"/>
      <c r="M35" s="18"/>
      <c r="N35" s="18"/>
      <c r="O35" s="18"/>
      <c r="P35" s="18"/>
      <c r="Q35" s="18"/>
      <c r="R35" s="44"/>
      <c r="S35" s="60" t="s">
        <v>18</v>
      </c>
      <c r="T35" s="61"/>
      <c r="U35" s="61"/>
      <c r="V35" s="61"/>
      <c r="W35" s="61"/>
      <c r="X35" s="61"/>
      <c r="Y35" s="61"/>
      <c r="Z35" s="78"/>
    </row>
    <row r="36" ht="60" customHeight="1" spans="1:26">
      <c r="A36" s="21"/>
      <c r="B36" s="43" t="s">
        <v>19</v>
      </c>
      <c r="C36" s="23" t="s">
        <v>20</v>
      </c>
      <c r="D36" s="24" t="s">
        <v>21</v>
      </c>
      <c r="E36" s="24" t="s">
        <v>22</v>
      </c>
      <c r="F36" s="24" t="s">
        <v>23</v>
      </c>
      <c r="G36" s="24" t="s">
        <v>24</v>
      </c>
      <c r="H36" s="24" t="s">
        <v>25</v>
      </c>
      <c r="I36" s="24" t="s">
        <v>26</v>
      </c>
      <c r="J36" s="45" t="s">
        <v>27</v>
      </c>
      <c r="K36" s="46" t="s">
        <v>20</v>
      </c>
      <c r="L36" s="24" t="s">
        <v>21</v>
      </c>
      <c r="M36" s="24" t="s">
        <v>22</v>
      </c>
      <c r="N36" s="24" t="s">
        <v>23</v>
      </c>
      <c r="O36" s="24" t="s">
        <v>24</v>
      </c>
      <c r="P36" s="24" t="s">
        <v>25</v>
      </c>
      <c r="Q36" s="24" t="s">
        <v>26</v>
      </c>
      <c r="R36" s="45" t="s">
        <v>27</v>
      </c>
      <c r="S36" s="46" t="s">
        <v>20</v>
      </c>
      <c r="T36" s="62" t="s">
        <v>21</v>
      </c>
      <c r="U36" s="63" t="s">
        <v>22</v>
      </c>
      <c r="V36" s="63" t="s">
        <v>23</v>
      </c>
      <c r="W36" s="63" t="s">
        <v>24</v>
      </c>
      <c r="X36" s="63" t="s">
        <v>25</v>
      </c>
      <c r="Y36" s="63" t="s">
        <v>26</v>
      </c>
      <c r="Z36" s="79" t="s">
        <v>27</v>
      </c>
    </row>
    <row r="37" spans="1:26">
      <c r="A37" s="25" t="s">
        <v>28</v>
      </c>
      <c r="B37" s="26">
        <v>5</v>
      </c>
      <c r="C37" s="27">
        <v>36.57979</v>
      </c>
      <c r="D37" s="28">
        <v>66.661213</v>
      </c>
      <c r="E37" s="28">
        <v>26.022308</v>
      </c>
      <c r="F37" s="28">
        <v>26.813008</v>
      </c>
      <c r="G37" s="28">
        <v>5</v>
      </c>
      <c r="H37" s="28">
        <v>4.2093</v>
      </c>
      <c r="I37" s="28">
        <v>90.260605</v>
      </c>
      <c r="J37" s="47">
        <v>3.763325</v>
      </c>
      <c r="K37" s="48">
        <v>36.57979</v>
      </c>
      <c r="L37" s="28">
        <v>66.661213</v>
      </c>
      <c r="M37" s="28">
        <v>42.810893</v>
      </c>
      <c r="N37" s="28">
        <v>44.111723</v>
      </c>
      <c r="O37" s="28">
        <v>5</v>
      </c>
      <c r="P37" s="28">
        <v>3.69917</v>
      </c>
      <c r="Q37" s="28">
        <v>79.321832</v>
      </c>
      <c r="R37" s="47">
        <v>3.307244</v>
      </c>
      <c r="S37" s="64">
        <v>36.57979</v>
      </c>
      <c r="T37" s="65">
        <v>66.661213</v>
      </c>
      <c r="U37" s="28">
        <v>59.599479</v>
      </c>
      <c r="V37" s="66">
        <v>61.410438</v>
      </c>
      <c r="W37" s="66">
        <v>5</v>
      </c>
      <c r="X37" s="66">
        <v>3.189041</v>
      </c>
      <c r="Y37" s="66">
        <v>68.383059</v>
      </c>
      <c r="Z37" s="80">
        <v>2.851163</v>
      </c>
    </row>
    <row r="38" spans="1:26">
      <c r="A38" s="25"/>
      <c r="B38" s="26">
        <v>10</v>
      </c>
      <c r="C38" s="27">
        <v>67.062948</v>
      </c>
      <c r="D38" s="28">
        <v>105.216818</v>
      </c>
      <c r="E38" s="28"/>
      <c r="F38" s="28">
        <v>27.278596</v>
      </c>
      <c r="G38" s="28">
        <v>10</v>
      </c>
      <c r="H38" s="28">
        <v>8.743712</v>
      </c>
      <c r="I38" s="28">
        <v>187.492644</v>
      </c>
      <c r="J38" s="47">
        <v>7.817317</v>
      </c>
      <c r="K38" s="48">
        <v>67.062948</v>
      </c>
      <c r="L38" s="28">
        <v>105.216818</v>
      </c>
      <c r="M38" s="28"/>
      <c r="N38" s="28">
        <v>44.87769</v>
      </c>
      <c r="O38" s="28">
        <v>10</v>
      </c>
      <c r="P38" s="28">
        <v>7.933204</v>
      </c>
      <c r="Q38" s="28">
        <v>170.112798</v>
      </c>
      <c r="R38" s="47">
        <v>7.092682</v>
      </c>
      <c r="S38" s="64">
        <v>67.062948</v>
      </c>
      <c r="T38" s="65">
        <v>105.216818</v>
      </c>
      <c r="U38" s="28"/>
      <c r="V38" s="66">
        <v>62.476784</v>
      </c>
      <c r="W38" s="66">
        <v>10</v>
      </c>
      <c r="X38" s="66">
        <v>7.122695</v>
      </c>
      <c r="Y38" s="66">
        <v>152.732952</v>
      </c>
      <c r="Z38" s="80">
        <v>6.368047</v>
      </c>
    </row>
    <row r="39" spans="1:26">
      <c r="A39" s="25"/>
      <c r="B39" s="26">
        <v>15</v>
      </c>
      <c r="C39" s="27">
        <v>97.546106</v>
      </c>
      <c r="D39" s="28">
        <v>143.580773</v>
      </c>
      <c r="E39" s="28"/>
      <c r="F39" s="28">
        <v>27.747879</v>
      </c>
      <c r="G39" s="28">
        <v>15</v>
      </c>
      <c r="H39" s="28">
        <v>13.274429</v>
      </c>
      <c r="I39" s="28">
        <v>284.645447</v>
      </c>
      <c r="J39" s="47">
        <v>11.868006</v>
      </c>
      <c r="K39" s="48">
        <v>97.546106</v>
      </c>
      <c r="L39" s="28">
        <v>143.580773</v>
      </c>
      <c r="M39" s="28"/>
      <c r="N39" s="28">
        <v>45.649736</v>
      </c>
      <c r="O39" s="28">
        <v>15</v>
      </c>
      <c r="P39" s="28">
        <v>12.161157</v>
      </c>
      <c r="Q39" s="28">
        <v>260.773407</v>
      </c>
      <c r="R39" s="47">
        <v>10.872685</v>
      </c>
      <c r="S39" s="64">
        <v>97.546106</v>
      </c>
      <c r="T39" s="65">
        <v>143.580773</v>
      </c>
      <c r="U39" s="28"/>
      <c r="V39" s="66">
        <v>63.551593</v>
      </c>
      <c r="W39" s="66">
        <v>15</v>
      </c>
      <c r="X39" s="66">
        <v>11.047886</v>
      </c>
      <c r="Y39" s="66">
        <v>236.901368</v>
      </c>
      <c r="Z39" s="80">
        <v>9.877364</v>
      </c>
    </row>
    <row r="40" spans="1:26">
      <c r="A40" s="25"/>
      <c r="B40" s="26">
        <v>20</v>
      </c>
      <c r="C40" s="27">
        <v>128.029264</v>
      </c>
      <c r="D40" s="28">
        <v>181.942567</v>
      </c>
      <c r="E40" s="28"/>
      <c r="F40" s="28">
        <v>28.223129</v>
      </c>
      <c r="G40" s="28">
        <v>20</v>
      </c>
      <c r="H40" s="28">
        <v>17.799178</v>
      </c>
      <c r="I40" s="28">
        <v>381.670285</v>
      </c>
      <c r="J40" s="47">
        <v>15.913359</v>
      </c>
      <c r="K40" s="48">
        <v>128.029264</v>
      </c>
      <c r="L40" s="28">
        <v>181.942567</v>
      </c>
      <c r="M40" s="28"/>
      <c r="N40" s="28">
        <v>46.4316</v>
      </c>
      <c r="O40" s="28">
        <v>20</v>
      </c>
      <c r="P40" s="28">
        <v>16.379294</v>
      </c>
      <c r="Q40" s="28">
        <v>351.223495</v>
      </c>
      <c r="R40" s="47">
        <v>14.64391</v>
      </c>
      <c r="S40" s="64">
        <v>128.029264</v>
      </c>
      <c r="T40" s="65">
        <v>181.942567</v>
      </c>
      <c r="U40" s="28"/>
      <c r="V40" s="66">
        <v>64.64007</v>
      </c>
      <c r="W40" s="66">
        <v>20</v>
      </c>
      <c r="X40" s="66">
        <v>14.959409</v>
      </c>
      <c r="Y40" s="66">
        <v>320.776704</v>
      </c>
      <c r="Z40" s="80">
        <v>13.374462</v>
      </c>
    </row>
    <row r="41" spans="1:26">
      <c r="A41" s="25"/>
      <c r="B41" s="26">
        <v>25</v>
      </c>
      <c r="C41" s="27">
        <v>158.512422</v>
      </c>
      <c r="D41" s="28">
        <v>220.303495</v>
      </c>
      <c r="E41" s="28"/>
      <c r="F41" s="28">
        <v>28.704363</v>
      </c>
      <c r="G41" s="28">
        <v>25</v>
      </c>
      <c r="H41" s="28">
        <v>22.317945</v>
      </c>
      <c r="I41" s="28">
        <v>478.56683</v>
      </c>
      <c r="J41" s="47">
        <v>19.953363</v>
      </c>
      <c r="K41" s="48">
        <v>158.512422</v>
      </c>
      <c r="L41" s="28">
        <v>220.303495</v>
      </c>
      <c r="M41" s="28"/>
      <c r="N41" s="28">
        <v>47.223306</v>
      </c>
      <c r="O41" s="28">
        <v>25</v>
      </c>
      <c r="P41" s="28">
        <v>20.587587</v>
      </c>
      <c r="Q41" s="28">
        <v>441.462519</v>
      </c>
      <c r="R41" s="47">
        <v>18.406336</v>
      </c>
      <c r="S41" s="64">
        <v>158.512422</v>
      </c>
      <c r="T41" s="65">
        <v>220.303495</v>
      </c>
      <c r="U41" s="28"/>
      <c r="V41" s="66">
        <v>65.74225</v>
      </c>
      <c r="W41" s="66">
        <v>25</v>
      </c>
      <c r="X41" s="66">
        <v>18.857229</v>
      </c>
      <c r="Y41" s="66">
        <v>404.358207</v>
      </c>
      <c r="Z41" s="80">
        <v>16.859309</v>
      </c>
    </row>
    <row r="42" spans="1:26">
      <c r="A42" s="25"/>
      <c r="B42" s="26">
        <v>30</v>
      </c>
      <c r="C42" s="27">
        <v>188.99558</v>
      </c>
      <c r="D42" s="28">
        <v>258.663582</v>
      </c>
      <c r="E42" s="28"/>
      <c r="F42" s="28">
        <v>29.191579</v>
      </c>
      <c r="G42" s="28">
        <v>29.191579</v>
      </c>
      <c r="H42" s="28">
        <v>26.022308</v>
      </c>
      <c r="I42" s="49">
        <v>558</v>
      </c>
      <c r="J42" s="47">
        <v>23.265249</v>
      </c>
      <c r="K42" s="48">
        <v>188.99558</v>
      </c>
      <c r="L42" s="28">
        <v>258.663582</v>
      </c>
      <c r="M42" s="28"/>
      <c r="N42" s="28">
        <v>48.024856</v>
      </c>
      <c r="O42" s="28">
        <v>30</v>
      </c>
      <c r="P42" s="28">
        <v>24.786037</v>
      </c>
      <c r="Q42" s="28">
        <v>531.490483</v>
      </c>
      <c r="R42" s="47">
        <v>22.159961</v>
      </c>
      <c r="S42" s="64">
        <v>188.99558</v>
      </c>
      <c r="T42" s="65">
        <v>258.663582</v>
      </c>
      <c r="U42" s="28"/>
      <c r="V42" s="66">
        <v>66.858133</v>
      </c>
      <c r="W42" s="66">
        <v>30</v>
      </c>
      <c r="X42" s="66">
        <v>22.741346</v>
      </c>
      <c r="Y42" s="66">
        <v>487.645882</v>
      </c>
      <c r="Z42" s="80">
        <v>20.331905</v>
      </c>
    </row>
    <row r="43" spans="1:26">
      <c r="A43" s="25"/>
      <c r="B43" s="26">
        <v>35</v>
      </c>
      <c r="C43" s="27">
        <v>219.478738</v>
      </c>
      <c r="D43" s="28">
        <v>297.022843</v>
      </c>
      <c r="E43" s="28"/>
      <c r="F43" s="28">
        <v>29.684778</v>
      </c>
      <c r="G43" s="28">
        <v>29.684778</v>
      </c>
      <c r="H43" s="28">
        <v>26.022308</v>
      </c>
      <c r="I43" s="49">
        <v>558</v>
      </c>
      <c r="J43" s="47">
        <v>23.265249</v>
      </c>
      <c r="K43" s="48">
        <v>219.478738</v>
      </c>
      <c r="L43" s="28">
        <v>297.022843</v>
      </c>
      <c r="M43" s="28"/>
      <c r="N43" s="28">
        <v>48.836248</v>
      </c>
      <c r="O43" s="28">
        <v>35</v>
      </c>
      <c r="P43" s="28">
        <v>28.974646</v>
      </c>
      <c r="Q43" s="28">
        <v>621.307395</v>
      </c>
      <c r="R43" s="47">
        <v>25.904787</v>
      </c>
      <c r="S43" s="64">
        <v>219.478738</v>
      </c>
      <c r="T43" s="65">
        <v>297.022843</v>
      </c>
      <c r="U43" s="28"/>
      <c r="V43" s="66">
        <v>67.987717</v>
      </c>
      <c r="W43" s="66">
        <v>35</v>
      </c>
      <c r="X43" s="66">
        <v>26.611761</v>
      </c>
      <c r="Y43" s="66">
        <v>570.639739</v>
      </c>
      <c r="Z43" s="80">
        <v>23.79225</v>
      </c>
    </row>
    <row r="44" spans="1:26">
      <c r="A44" s="25"/>
      <c r="B44" s="26">
        <v>40</v>
      </c>
      <c r="C44" s="27">
        <v>249.961896</v>
      </c>
      <c r="D44" s="28">
        <v>335.381292</v>
      </c>
      <c r="E44" s="28"/>
      <c r="F44" s="28">
        <v>30.18396</v>
      </c>
      <c r="G44" s="28">
        <v>30.18396</v>
      </c>
      <c r="H44" s="28">
        <v>26.022308</v>
      </c>
      <c r="I44" s="49">
        <v>558</v>
      </c>
      <c r="J44" s="47">
        <v>23.265249</v>
      </c>
      <c r="K44" s="48">
        <v>249.961896</v>
      </c>
      <c r="L44" s="28">
        <v>335.381292</v>
      </c>
      <c r="M44" s="28"/>
      <c r="N44" s="28">
        <v>49.657482</v>
      </c>
      <c r="O44" s="28">
        <v>40</v>
      </c>
      <c r="P44" s="28">
        <v>33.153411</v>
      </c>
      <c r="Q44" s="28">
        <v>710.913261</v>
      </c>
      <c r="R44" s="47">
        <v>29.640813</v>
      </c>
      <c r="S44" s="64">
        <v>249.961896</v>
      </c>
      <c r="T44" s="65">
        <v>335.381292</v>
      </c>
      <c r="U44" s="28"/>
      <c r="V44" s="66">
        <v>69.131004</v>
      </c>
      <c r="W44" s="66">
        <v>40</v>
      </c>
      <c r="X44" s="66">
        <v>30.468475</v>
      </c>
      <c r="Y44" s="66">
        <v>653.339787</v>
      </c>
      <c r="Z44" s="80">
        <v>27.240345</v>
      </c>
    </row>
    <row r="45" spans="1:26">
      <c r="A45" s="25"/>
      <c r="B45" s="26">
        <v>45</v>
      </c>
      <c r="C45" s="27">
        <v>280.445054</v>
      </c>
      <c r="D45" s="28">
        <v>373.738943</v>
      </c>
      <c r="E45" s="28"/>
      <c r="F45" s="28">
        <v>30.689123</v>
      </c>
      <c r="G45" s="28">
        <v>30.689123</v>
      </c>
      <c r="H45" s="28">
        <v>26.022308</v>
      </c>
      <c r="I45" s="49">
        <v>558</v>
      </c>
      <c r="J45" s="47">
        <v>23.265249</v>
      </c>
      <c r="K45" s="48">
        <v>280.445054</v>
      </c>
      <c r="L45" s="28">
        <v>373.738943</v>
      </c>
      <c r="M45" s="28"/>
      <c r="N45" s="28">
        <v>50.488558</v>
      </c>
      <c r="O45" s="28">
        <v>45</v>
      </c>
      <c r="P45" s="28">
        <v>37.322336</v>
      </c>
      <c r="Q45" s="28">
        <v>800.308088</v>
      </c>
      <c r="R45" s="47">
        <v>33.368041</v>
      </c>
      <c r="S45" s="64">
        <v>280.445054</v>
      </c>
      <c r="T45" s="65">
        <v>373.738943</v>
      </c>
      <c r="U45" s="28"/>
      <c r="V45" s="66">
        <v>70.287992</v>
      </c>
      <c r="W45" s="66">
        <v>45</v>
      </c>
      <c r="X45" s="66">
        <v>34.311487</v>
      </c>
      <c r="Y45" s="66">
        <v>735.746035</v>
      </c>
      <c r="Z45" s="80">
        <v>30.676191</v>
      </c>
    </row>
    <row r="46" spans="1:26">
      <c r="A46" s="29"/>
      <c r="B46" s="30">
        <v>50</v>
      </c>
      <c r="C46" s="31">
        <v>310.928212</v>
      </c>
      <c r="D46" s="32">
        <v>412.095811</v>
      </c>
      <c r="E46" s="32"/>
      <c r="F46" s="32">
        <v>31.200269</v>
      </c>
      <c r="G46" s="32">
        <v>31.200269</v>
      </c>
      <c r="H46" s="32">
        <v>26.022308</v>
      </c>
      <c r="I46" s="50">
        <v>558</v>
      </c>
      <c r="J46" s="51">
        <v>23.265249</v>
      </c>
      <c r="K46" s="52">
        <v>310.928212</v>
      </c>
      <c r="L46" s="32">
        <v>412.095811</v>
      </c>
      <c r="M46" s="32"/>
      <c r="N46" s="32">
        <v>51.329475</v>
      </c>
      <c r="O46" s="32">
        <v>50</v>
      </c>
      <c r="P46" s="32">
        <v>41.481418</v>
      </c>
      <c r="Q46" s="32">
        <v>889.491883</v>
      </c>
      <c r="R46" s="51">
        <v>37.086469</v>
      </c>
      <c r="S46" s="68">
        <v>310.928212</v>
      </c>
      <c r="T46" s="69">
        <v>412.095811</v>
      </c>
      <c r="U46" s="32"/>
      <c r="V46" s="70">
        <v>71.458681</v>
      </c>
      <c r="W46" s="70">
        <v>50</v>
      </c>
      <c r="X46" s="70">
        <v>38.140798</v>
      </c>
      <c r="Y46" s="70">
        <v>817.858493</v>
      </c>
      <c r="Z46" s="81">
        <v>34.099787</v>
      </c>
    </row>
    <row r="47" ht="27" customHeight="1" spans="1:26">
      <c r="A47" s="19"/>
      <c r="B47" s="20"/>
      <c r="C47" s="17" t="s">
        <v>29</v>
      </c>
      <c r="D47" s="18"/>
      <c r="E47" s="18"/>
      <c r="F47" s="18"/>
      <c r="G47" s="18"/>
      <c r="H47" s="18"/>
      <c r="I47" s="18"/>
      <c r="J47" s="44"/>
      <c r="K47" s="17" t="s">
        <v>30</v>
      </c>
      <c r="L47" s="18"/>
      <c r="M47" s="18"/>
      <c r="N47" s="18"/>
      <c r="O47" s="18"/>
      <c r="P47" s="18"/>
      <c r="Q47" s="18"/>
      <c r="R47" s="44"/>
      <c r="S47" s="17" t="s">
        <v>31</v>
      </c>
      <c r="T47" s="18"/>
      <c r="U47" s="18"/>
      <c r="V47" s="18"/>
      <c r="W47" s="18"/>
      <c r="X47" s="18"/>
      <c r="Y47" s="18"/>
      <c r="Z47" s="44"/>
    </row>
    <row r="48" spans="1:26">
      <c r="A48" s="33" t="s">
        <v>32</v>
      </c>
      <c r="B48" s="34">
        <v>5</v>
      </c>
      <c r="C48" s="35">
        <v>36.57979</v>
      </c>
      <c r="D48" s="36">
        <v>67.119862</v>
      </c>
      <c r="E48" s="36">
        <v>19.841049</v>
      </c>
      <c r="F48" s="36">
        <v>20.469429</v>
      </c>
      <c r="G48" s="36">
        <v>5</v>
      </c>
      <c r="H48" s="36">
        <v>4.37162</v>
      </c>
      <c r="I48" s="36">
        <v>93.200477</v>
      </c>
      <c r="J48" s="53">
        <v>3.8859</v>
      </c>
      <c r="K48" s="54">
        <v>36.57979</v>
      </c>
      <c r="L48" s="36">
        <v>67.119862</v>
      </c>
      <c r="M48" s="36">
        <v>36.727049</v>
      </c>
      <c r="N48" s="36">
        <v>37.89022</v>
      </c>
      <c r="O48" s="36">
        <v>5</v>
      </c>
      <c r="P48" s="36">
        <v>3.836828</v>
      </c>
      <c r="Q48" s="36">
        <v>81.799022</v>
      </c>
      <c r="R48" s="53">
        <v>3.410528</v>
      </c>
      <c r="S48" s="71">
        <v>36.57979</v>
      </c>
      <c r="T48" s="72">
        <v>67.119862</v>
      </c>
      <c r="U48" s="36">
        <v>53.613048</v>
      </c>
      <c r="V48" s="73">
        <v>55.311011</v>
      </c>
      <c r="W48" s="73">
        <v>5</v>
      </c>
      <c r="X48" s="73">
        <v>3.302037</v>
      </c>
      <c r="Y48" s="73">
        <v>70.397568</v>
      </c>
      <c r="Z48" s="82">
        <v>2.935156</v>
      </c>
    </row>
    <row r="49" spans="1:26">
      <c r="A49" s="37"/>
      <c r="B49" s="34">
        <v>10</v>
      </c>
      <c r="C49" s="35">
        <v>67.062948</v>
      </c>
      <c r="D49" s="36">
        <v>105.688535</v>
      </c>
      <c r="E49" s="36"/>
      <c r="F49" s="36">
        <v>20.837113</v>
      </c>
      <c r="G49" s="36">
        <v>10</v>
      </c>
      <c r="H49" s="36">
        <v>9.003936</v>
      </c>
      <c r="I49" s="36">
        <v>191.958845</v>
      </c>
      <c r="J49" s="53">
        <v>8.003531</v>
      </c>
      <c r="K49" s="54">
        <v>67.062948</v>
      </c>
      <c r="L49" s="36">
        <v>105.688535</v>
      </c>
      <c r="M49" s="36"/>
      <c r="N49" s="36">
        <v>38.570827</v>
      </c>
      <c r="O49" s="36">
        <v>10</v>
      </c>
      <c r="P49" s="36">
        <v>8.156222</v>
      </c>
      <c r="Q49" s="36">
        <v>173.886058</v>
      </c>
      <c r="R49" s="53">
        <v>7.250004</v>
      </c>
      <c r="S49" s="71">
        <v>67.062948</v>
      </c>
      <c r="T49" s="72">
        <v>105.688535</v>
      </c>
      <c r="U49" s="36"/>
      <c r="V49" s="73">
        <v>56.30454</v>
      </c>
      <c r="W49" s="73">
        <v>10</v>
      </c>
      <c r="X49" s="73">
        <v>7.308508</v>
      </c>
      <c r="Y49" s="73">
        <v>155.81327</v>
      </c>
      <c r="Z49" s="82">
        <v>6.496478</v>
      </c>
    </row>
    <row r="50" spans="1:26">
      <c r="A50" s="37"/>
      <c r="B50" s="34">
        <v>15</v>
      </c>
      <c r="C50" s="35">
        <v>97.546106</v>
      </c>
      <c r="D50" s="36">
        <v>144.058269</v>
      </c>
      <c r="E50" s="36"/>
      <c r="F50" s="36">
        <v>21.207682</v>
      </c>
      <c r="G50" s="36">
        <v>15</v>
      </c>
      <c r="H50" s="36">
        <v>13.633367</v>
      </c>
      <c r="I50" s="36">
        <v>290.655714</v>
      </c>
      <c r="J50" s="53">
        <v>12.118598</v>
      </c>
      <c r="K50" s="54">
        <v>97.546106</v>
      </c>
      <c r="L50" s="36">
        <v>144.058269</v>
      </c>
      <c r="M50" s="36"/>
      <c r="N50" s="36">
        <v>39.256773</v>
      </c>
      <c r="O50" s="36">
        <v>15</v>
      </c>
      <c r="P50" s="36">
        <v>12.470275</v>
      </c>
      <c r="Q50" s="36">
        <v>265.859253</v>
      </c>
      <c r="R50" s="53">
        <v>11.084734</v>
      </c>
      <c r="S50" s="71">
        <v>97.546106</v>
      </c>
      <c r="T50" s="72">
        <v>144.058269</v>
      </c>
      <c r="U50" s="36"/>
      <c r="V50" s="73">
        <v>57.305864</v>
      </c>
      <c r="W50" s="73">
        <v>15</v>
      </c>
      <c r="X50" s="73">
        <v>11.307184</v>
      </c>
      <c r="Y50" s="73">
        <v>241.062791</v>
      </c>
      <c r="Z50" s="82">
        <v>10.050871</v>
      </c>
    </row>
    <row r="51" spans="1:26">
      <c r="A51" s="37"/>
      <c r="B51" s="34">
        <v>20</v>
      </c>
      <c r="C51" s="35">
        <v>128.029264</v>
      </c>
      <c r="D51" s="36">
        <v>182.425744</v>
      </c>
      <c r="E51" s="36"/>
      <c r="F51" s="36">
        <v>21.582997</v>
      </c>
      <c r="G51" s="36">
        <v>20</v>
      </c>
      <c r="H51" s="36">
        <v>18.258052</v>
      </c>
      <c r="I51" s="36">
        <v>389.251388</v>
      </c>
      <c r="J51" s="53">
        <v>16.229445</v>
      </c>
      <c r="K51" s="54">
        <v>128.029264</v>
      </c>
      <c r="L51" s="36">
        <v>182.425744</v>
      </c>
      <c r="M51" s="36"/>
      <c r="N51" s="36">
        <v>39.951506</v>
      </c>
      <c r="O51" s="36">
        <v>20</v>
      </c>
      <c r="P51" s="36">
        <v>16.775543</v>
      </c>
      <c r="Q51" s="36">
        <v>357.645129</v>
      </c>
      <c r="R51" s="53">
        <v>14.911654</v>
      </c>
      <c r="S51" s="71">
        <v>128.029264</v>
      </c>
      <c r="T51" s="72">
        <v>182.425744</v>
      </c>
      <c r="U51" s="36"/>
      <c r="V51" s="73">
        <v>58.320014</v>
      </c>
      <c r="W51" s="73">
        <v>20</v>
      </c>
      <c r="X51" s="73">
        <v>15.293034</v>
      </c>
      <c r="Y51" s="73">
        <v>326.038871</v>
      </c>
      <c r="Z51" s="82">
        <v>13.593863</v>
      </c>
    </row>
    <row r="52" spans="1:26">
      <c r="A52" s="37"/>
      <c r="B52" s="34">
        <v>25</v>
      </c>
      <c r="C52" s="35">
        <v>158.512422</v>
      </c>
      <c r="D52" s="36">
        <v>220.792333</v>
      </c>
      <c r="E52" s="36"/>
      <c r="F52" s="36">
        <v>21.963072</v>
      </c>
      <c r="G52" s="36">
        <v>21.963072</v>
      </c>
      <c r="H52" s="36">
        <v>19.841049</v>
      </c>
      <c r="I52" s="55">
        <v>423</v>
      </c>
      <c r="J52" s="53">
        <v>17.63656</v>
      </c>
      <c r="K52" s="54">
        <v>158.512422</v>
      </c>
      <c r="L52" s="36">
        <v>220.792333</v>
      </c>
      <c r="M52" s="36"/>
      <c r="N52" s="36">
        <v>40.655048</v>
      </c>
      <c r="O52" s="36">
        <v>25</v>
      </c>
      <c r="P52" s="36">
        <v>21.072</v>
      </c>
      <c r="Q52" s="36">
        <v>449.24318</v>
      </c>
      <c r="R52" s="53">
        <v>18.730742</v>
      </c>
      <c r="S52" s="71">
        <v>158.512422</v>
      </c>
      <c r="T52" s="72">
        <v>220.792333</v>
      </c>
      <c r="U52" s="36"/>
      <c r="V52" s="73">
        <v>59.347025</v>
      </c>
      <c r="W52" s="73">
        <v>25</v>
      </c>
      <c r="X52" s="73">
        <v>19.266023</v>
      </c>
      <c r="Y52" s="73">
        <v>410.740767</v>
      </c>
      <c r="Z52" s="82">
        <v>17.125423</v>
      </c>
    </row>
    <row r="53" spans="1:26">
      <c r="A53" s="37"/>
      <c r="B53" s="34">
        <v>30</v>
      </c>
      <c r="C53" s="35">
        <v>188.99558</v>
      </c>
      <c r="D53" s="36">
        <v>259.158063</v>
      </c>
      <c r="E53" s="36"/>
      <c r="F53" s="36">
        <v>22.347906</v>
      </c>
      <c r="G53" s="36">
        <v>22.347906</v>
      </c>
      <c r="H53" s="36">
        <v>19.841049</v>
      </c>
      <c r="I53" s="55">
        <v>423</v>
      </c>
      <c r="J53" s="53">
        <v>17.63656</v>
      </c>
      <c r="K53" s="54">
        <v>188.99558</v>
      </c>
      <c r="L53" s="36">
        <v>259.158063</v>
      </c>
      <c r="M53" s="36"/>
      <c r="N53" s="36">
        <v>41.367401</v>
      </c>
      <c r="O53" s="36">
        <v>30</v>
      </c>
      <c r="P53" s="36">
        <v>25.359647</v>
      </c>
      <c r="Q53" s="36">
        <v>540.653408</v>
      </c>
      <c r="R53" s="53">
        <v>22.542</v>
      </c>
      <c r="S53" s="71">
        <v>188.99558</v>
      </c>
      <c r="T53" s="72">
        <v>259.158063</v>
      </c>
      <c r="U53" s="36"/>
      <c r="V53" s="73">
        <v>60.386896</v>
      </c>
      <c r="W53" s="73">
        <v>30</v>
      </c>
      <c r="X53" s="73">
        <v>23.226152</v>
      </c>
      <c r="Y53" s="73">
        <v>495.168486</v>
      </c>
      <c r="Z53" s="82">
        <v>20.645552</v>
      </c>
    </row>
    <row r="54" spans="1:26">
      <c r="A54" s="37"/>
      <c r="B54" s="34">
        <v>35</v>
      </c>
      <c r="C54" s="35">
        <v>219.478738</v>
      </c>
      <c r="D54" s="36">
        <v>297.522948</v>
      </c>
      <c r="E54" s="36"/>
      <c r="F54" s="36">
        <v>22.7375</v>
      </c>
      <c r="G54" s="36">
        <v>22.7375</v>
      </c>
      <c r="H54" s="36">
        <v>19.841049</v>
      </c>
      <c r="I54" s="55">
        <v>423</v>
      </c>
      <c r="J54" s="53">
        <v>17.63656</v>
      </c>
      <c r="K54" s="54">
        <v>219.478738</v>
      </c>
      <c r="L54" s="36">
        <v>297.522948</v>
      </c>
      <c r="M54" s="36"/>
      <c r="N54" s="36">
        <v>42.088563</v>
      </c>
      <c r="O54" s="36">
        <v>35</v>
      </c>
      <c r="P54" s="36">
        <v>29.638485</v>
      </c>
      <c r="Q54" s="36">
        <v>631.875819</v>
      </c>
      <c r="R54" s="53">
        <v>26.345427</v>
      </c>
      <c r="S54" s="71">
        <v>219.478738</v>
      </c>
      <c r="T54" s="72">
        <v>297.522948</v>
      </c>
      <c r="U54" s="36"/>
      <c r="V54" s="73">
        <v>61.439627</v>
      </c>
      <c r="W54" s="73">
        <v>35</v>
      </c>
      <c r="X54" s="73">
        <v>27.173421</v>
      </c>
      <c r="Y54" s="73">
        <v>579.322036</v>
      </c>
      <c r="Z54" s="82">
        <v>24.15425</v>
      </c>
    </row>
    <row r="55" spans="1:26">
      <c r="A55" s="37"/>
      <c r="B55" s="34">
        <v>40</v>
      </c>
      <c r="C55" s="35">
        <v>249.961896</v>
      </c>
      <c r="D55" s="36">
        <v>335.887004</v>
      </c>
      <c r="E55" s="36"/>
      <c r="F55" s="36">
        <v>23.131852</v>
      </c>
      <c r="G55" s="36">
        <v>23.131852</v>
      </c>
      <c r="H55" s="36">
        <v>19.841049</v>
      </c>
      <c r="I55" s="55">
        <v>423</v>
      </c>
      <c r="J55" s="53">
        <v>17.63656</v>
      </c>
      <c r="K55" s="54">
        <v>249.961896</v>
      </c>
      <c r="L55" s="36">
        <v>335.887004</v>
      </c>
      <c r="M55" s="36"/>
      <c r="N55" s="36">
        <v>42.818535</v>
      </c>
      <c r="O55" s="36">
        <v>40</v>
      </c>
      <c r="P55" s="36">
        <v>33.908514</v>
      </c>
      <c r="Q55" s="36">
        <v>722.910421</v>
      </c>
      <c r="R55" s="53">
        <v>30.141023</v>
      </c>
      <c r="S55" s="71">
        <v>249.961896</v>
      </c>
      <c r="T55" s="72">
        <v>335.887004</v>
      </c>
      <c r="U55" s="36"/>
      <c r="V55" s="73">
        <v>62.505218</v>
      </c>
      <c r="W55" s="73">
        <v>40</v>
      </c>
      <c r="X55" s="73">
        <v>31.10783</v>
      </c>
      <c r="Y55" s="73">
        <v>663.201427</v>
      </c>
      <c r="Z55" s="82">
        <v>27.651516</v>
      </c>
    </row>
    <row r="56" spans="1:26">
      <c r="A56" s="37"/>
      <c r="B56" s="34">
        <v>45</v>
      </c>
      <c r="C56" s="35">
        <v>280.445054</v>
      </c>
      <c r="D56" s="36">
        <v>374.250244</v>
      </c>
      <c r="E56" s="36"/>
      <c r="F56" s="36">
        <v>23.530964</v>
      </c>
      <c r="G56" s="36">
        <v>23.530964</v>
      </c>
      <c r="H56" s="36">
        <v>19.841049</v>
      </c>
      <c r="I56" s="55">
        <v>423</v>
      </c>
      <c r="J56" s="53">
        <v>17.63656</v>
      </c>
      <c r="K56" s="54">
        <v>280.445054</v>
      </c>
      <c r="L56" s="36">
        <v>374.250244</v>
      </c>
      <c r="M56" s="36"/>
      <c r="N56" s="36">
        <v>43.557316</v>
      </c>
      <c r="O56" s="36">
        <v>43.557316</v>
      </c>
      <c r="P56" s="36">
        <v>36.727049</v>
      </c>
      <c r="Q56" s="55">
        <v>783</v>
      </c>
      <c r="R56" s="53">
        <v>32.646397</v>
      </c>
      <c r="S56" s="71">
        <v>280.445054</v>
      </c>
      <c r="T56" s="72">
        <v>374.250244</v>
      </c>
      <c r="U56" s="36"/>
      <c r="V56" s="73">
        <v>63.583668</v>
      </c>
      <c r="W56" s="73">
        <v>45</v>
      </c>
      <c r="X56" s="73">
        <v>35.02938</v>
      </c>
      <c r="Y56" s="73">
        <v>746.806667</v>
      </c>
      <c r="Z56" s="82">
        <v>31.137353</v>
      </c>
    </row>
    <row r="57" spans="1:26">
      <c r="A57" s="38"/>
      <c r="B57" s="39">
        <v>50</v>
      </c>
      <c r="C57" s="40">
        <v>310.928212</v>
      </c>
      <c r="D57" s="41">
        <v>412.612683</v>
      </c>
      <c r="E57" s="41"/>
      <c r="F57" s="41">
        <v>23.934834</v>
      </c>
      <c r="G57" s="41">
        <v>23.934834</v>
      </c>
      <c r="H57" s="41">
        <v>19.841049</v>
      </c>
      <c r="I57" s="56">
        <v>423</v>
      </c>
      <c r="J57" s="57">
        <v>17.63656</v>
      </c>
      <c r="K57" s="58">
        <v>310.928212</v>
      </c>
      <c r="L57" s="41">
        <v>412.612683</v>
      </c>
      <c r="M57" s="41"/>
      <c r="N57" s="41">
        <v>44.304905</v>
      </c>
      <c r="O57" s="41">
        <v>44.304905</v>
      </c>
      <c r="P57" s="41">
        <v>36.727049</v>
      </c>
      <c r="Q57" s="56">
        <v>783</v>
      </c>
      <c r="R57" s="57">
        <v>32.646397</v>
      </c>
      <c r="S57" s="75">
        <v>310.928212</v>
      </c>
      <c r="T57" s="76">
        <v>412.612683</v>
      </c>
      <c r="U57" s="41"/>
      <c r="V57" s="77">
        <v>64.674976</v>
      </c>
      <c r="W57" s="77">
        <v>50</v>
      </c>
      <c r="X57" s="77">
        <v>38.938072</v>
      </c>
      <c r="Y57" s="77">
        <v>830.137766</v>
      </c>
      <c r="Z57" s="83">
        <v>34.611759</v>
      </c>
    </row>
    <row r="60" spans="1:2">
      <c r="A60" s="14" t="s">
        <v>35</v>
      </c>
      <c r="B60" s="14"/>
    </row>
    <row r="61" ht="27" customHeight="1" spans="1:26">
      <c r="A61" s="15" t="s">
        <v>13</v>
      </c>
      <c r="B61" s="15" t="s">
        <v>34</v>
      </c>
      <c r="C61" s="17" t="s">
        <v>15</v>
      </c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44"/>
    </row>
    <row r="62" ht="27" customHeight="1" spans="1:26">
      <c r="A62" s="19"/>
      <c r="B62" s="42"/>
      <c r="C62" s="17" t="s">
        <v>16</v>
      </c>
      <c r="D62" s="18"/>
      <c r="E62" s="18"/>
      <c r="F62" s="18"/>
      <c r="G62" s="18"/>
      <c r="H62" s="18"/>
      <c r="I62" s="18"/>
      <c r="J62" s="44"/>
      <c r="K62" s="17" t="s">
        <v>17</v>
      </c>
      <c r="L62" s="18"/>
      <c r="M62" s="18"/>
      <c r="N62" s="18"/>
      <c r="O62" s="18"/>
      <c r="P62" s="18"/>
      <c r="Q62" s="18"/>
      <c r="R62" s="44"/>
      <c r="S62" s="60" t="s">
        <v>18</v>
      </c>
      <c r="T62" s="61"/>
      <c r="U62" s="61"/>
      <c r="V62" s="61"/>
      <c r="W62" s="61"/>
      <c r="X62" s="61"/>
      <c r="Y62" s="61"/>
      <c r="Z62" s="78"/>
    </row>
    <row r="63" ht="60" customHeight="1" spans="1:26">
      <c r="A63" s="21"/>
      <c r="B63" s="43" t="s">
        <v>19</v>
      </c>
      <c r="C63" s="23" t="s">
        <v>20</v>
      </c>
      <c r="D63" s="24" t="s">
        <v>21</v>
      </c>
      <c r="E63" s="24" t="s">
        <v>22</v>
      </c>
      <c r="F63" s="24" t="s">
        <v>23</v>
      </c>
      <c r="G63" s="24" t="s">
        <v>24</v>
      </c>
      <c r="H63" s="24" t="s">
        <v>25</v>
      </c>
      <c r="I63" s="24" t="s">
        <v>26</v>
      </c>
      <c r="J63" s="45" t="s">
        <v>27</v>
      </c>
      <c r="K63" s="46" t="s">
        <v>20</v>
      </c>
      <c r="L63" s="24" t="s">
        <v>21</v>
      </c>
      <c r="M63" s="24" t="s">
        <v>22</v>
      </c>
      <c r="N63" s="24" t="s">
        <v>23</v>
      </c>
      <c r="O63" s="24" t="s">
        <v>24</v>
      </c>
      <c r="P63" s="24" t="s">
        <v>25</v>
      </c>
      <c r="Q63" s="24" t="s">
        <v>26</v>
      </c>
      <c r="R63" s="45" t="s">
        <v>27</v>
      </c>
      <c r="S63" s="46" t="s">
        <v>20</v>
      </c>
      <c r="T63" s="62" t="s">
        <v>21</v>
      </c>
      <c r="U63" s="63" t="s">
        <v>22</v>
      </c>
      <c r="V63" s="63" t="s">
        <v>23</v>
      </c>
      <c r="W63" s="63" t="s">
        <v>24</v>
      </c>
      <c r="X63" s="63" t="s">
        <v>25</v>
      </c>
      <c r="Y63" s="63" t="s">
        <v>26</v>
      </c>
      <c r="Z63" s="79" t="s">
        <v>27</v>
      </c>
    </row>
    <row r="64" spans="1:26">
      <c r="A64" s="25" t="s">
        <v>28</v>
      </c>
      <c r="B64" s="26">
        <v>5</v>
      </c>
      <c r="C64" s="27">
        <v>36.57979</v>
      </c>
      <c r="D64" s="28">
        <v>63.361081</v>
      </c>
      <c r="E64" s="28">
        <v>41.05615</v>
      </c>
      <c r="F64" s="28">
        <v>41.770826</v>
      </c>
      <c r="G64" s="28">
        <v>5</v>
      </c>
      <c r="H64" s="28">
        <v>4.285324</v>
      </c>
      <c r="I64" s="28">
        <v>58.24245</v>
      </c>
      <c r="J64" s="47">
        <v>2.42836</v>
      </c>
      <c r="K64" s="48">
        <v>36.57979</v>
      </c>
      <c r="L64" s="28">
        <v>63.361081</v>
      </c>
      <c r="M64" s="28">
        <v>67.543989</v>
      </c>
      <c r="N64" s="28">
        <v>68.719746</v>
      </c>
      <c r="O64" s="28">
        <v>5</v>
      </c>
      <c r="P64" s="28">
        <v>3.824243</v>
      </c>
      <c r="Q64" s="28">
        <v>51.975828</v>
      </c>
      <c r="R64" s="47">
        <v>2.16708</v>
      </c>
      <c r="S64" s="64">
        <v>36.57979</v>
      </c>
      <c r="T64" s="65">
        <v>63.361081</v>
      </c>
      <c r="U64" s="28">
        <v>94.031828</v>
      </c>
      <c r="V64" s="66">
        <v>95.668666</v>
      </c>
      <c r="W64" s="66">
        <v>5</v>
      </c>
      <c r="X64" s="66">
        <v>3.363161</v>
      </c>
      <c r="Y64" s="66">
        <v>45.709206</v>
      </c>
      <c r="Z64" s="80">
        <v>1.905799</v>
      </c>
    </row>
    <row r="65" spans="1:26">
      <c r="A65" s="25"/>
      <c r="B65" s="26">
        <v>10</v>
      </c>
      <c r="C65" s="27">
        <v>67.062948</v>
      </c>
      <c r="D65" s="28">
        <v>101.736942</v>
      </c>
      <c r="E65" s="28"/>
      <c r="F65" s="28">
        <v>42.208235</v>
      </c>
      <c r="G65" s="28">
        <v>10</v>
      </c>
      <c r="H65" s="28">
        <v>8.847915</v>
      </c>
      <c r="I65" s="28">
        <v>120.253273</v>
      </c>
      <c r="J65" s="47">
        <v>5.013839</v>
      </c>
      <c r="K65" s="48">
        <v>67.062948</v>
      </c>
      <c r="L65" s="28">
        <v>101.736942</v>
      </c>
      <c r="M65" s="28"/>
      <c r="N65" s="28">
        <v>69.439355</v>
      </c>
      <c r="O65" s="28">
        <v>10</v>
      </c>
      <c r="P65" s="28">
        <v>8.104634</v>
      </c>
      <c r="Q65" s="28">
        <v>110.151238</v>
      </c>
      <c r="R65" s="47">
        <v>4.592645</v>
      </c>
      <c r="S65" s="64">
        <v>67.062948</v>
      </c>
      <c r="T65" s="65">
        <v>101.736942</v>
      </c>
      <c r="U65" s="28"/>
      <c r="V65" s="66">
        <v>96.670475</v>
      </c>
      <c r="W65" s="66">
        <v>10</v>
      </c>
      <c r="X65" s="66">
        <v>7.361353</v>
      </c>
      <c r="Y65" s="66">
        <v>100.049203</v>
      </c>
      <c r="Z65" s="80">
        <v>4.171451</v>
      </c>
    </row>
    <row r="66" spans="1:26">
      <c r="A66" s="25"/>
      <c r="B66" s="26">
        <v>15</v>
      </c>
      <c r="C66" s="27">
        <v>97.546106</v>
      </c>
      <c r="D66" s="28">
        <v>140.005015</v>
      </c>
      <c r="E66" s="28"/>
      <c r="F66" s="28">
        <v>42.647836</v>
      </c>
      <c r="G66" s="28">
        <v>15</v>
      </c>
      <c r="H66" s="28">
        <v>13.408315</v>
      </c>
      <c r="I66" s="28">
        <v>182.234319</v>
      </c>
      <c r="J66" s="47">
        <v>7.598077</v>
      </c>
      <c r="K66" s="48">
        <v>97.546106</v>
      </c>
      <c r="L66" s="28">
        <v>140.005015</v>
      </c>
      <c r="M66" s="28"/>
      <c r="N66" s="28">
        <v>70.162568</v>
      </c>
      <c r="O66" s="28">
        <v>15</v>
      </c>
      <c r="P66" s="28">
        <v>12.381421</v>
      </c>
      <c r="Q66" s="28">
        <v>168.277658</v>
      </c>
      <c r="R66" s="47">
        <v>7.016168</v>
      </c>
      <c r="S66" s="64">
        <v>97.546106</v>
      </c>
      <c r="T66" s="65">
        <v>140.005015</v>
      </c>
      <c r="U66" s="28"/>
      <c r="V66" s="66">
        <v>97.677301</v>
      </c>
      <c r="W66" s="66">
        <v>15</v>
      </c>
      <c r="X66" s="66">
        <v>11.354527</v>
      </c>
      <c r="Y66" s="66">
        <v>154.320998</v>
      </c>
      <c r="Z66" s="80">
        <v>6.434259</v>
      </c>
    </row>
    <row r="67" spans="1:26">
      <c r="A67" s="25"/>
      <c r="B67" s="26">
        <v>20</v>
      </c>
      <c r="C67" s="27">
        <v>128.029264</v>
      </c>
      <c r="D67" s="28">
        <v>178.272211</v>
      </c>
      <c r="E67" s="28"/>
      <c r="F67" s="28">
        <v>43.09084</v>
      </c>
      <c r="G67" s="28">
        <v>20</v>
      </c>
      <c r="H67" s="28">
        <v>17.96531</v>
      </c>
      <c r="I67" s="28">
        <v>244.169092</v>
      </c>
      <c r="J67" s="47">
        <v>10.180385</v>
      </c>
      <c r="K67" s="48">
        <v>128.029264</v>
      </c>
      <c r="L67" s="28">
        <v>178.272211</v>
      </c>
      <c r="M67" s="28"/>
      <c r="N67" s="28">
        <v>70.891382</v>
      </c>
      <c r="O67" s="28">
        <v>20</v>
      </c>
      <c r="P67" s="28">
        <v>16.652607</v>
      </c>
      <c r="Q67" s="28">
        <v>226.327955</v>
      </c>
      <c r="R67" s="47">
        <v>9.436516</v>
      </c>
      <c r="S67" s="64">
        <v>128.029264</v>
      </c>
      <c r="T67" s="65">
        <v>178.272211</v>
      </c>
      <c r="U67" s="28"/>
      <c r="V67" s="66">
        <v>98.691924</v>
      </c>
      <c r="W67" s="66">
        <v>20</v>
      </c>
      <c r="X67" s="66">
        <v>15.339903</v>
      </c>
      <c r="Y67" s="66">
        <v>208.486817</v>
      </c>
      <c r="Z67" s="80">
        <v>8.692648</v>
      </c>
    </row>
    <row r="68" spans="1:26">
      <c r="A68" s="25"/>
      <c r="B68" s="26">
        <v>25</v>
      </c>
      <c r="C68" s="27">
        <v>158.512422</v>
      </c>
      <c r="D68" s="28">
        <v>216.538993</v>
      </c>
      <c r="E68" s="28"/>
      <c r="F68" s="28">
        <v>43.537255</v>
      </c>
      <c r="G68" s="28">
        <v>25</v>
      </c>
      <c r="H68" s="28">
        <v>22.518895</v>
      </c>
      <c r="I68" s="28">
        <v>306.057524</v>
      </c>
      <c r="J68" s="47">
        <v>12.760761</v>
      </c>
      <c r="K68" s="48">
        <v>158.512422</v>
      </c>
      <c r="L68" s="28">
        <v>216.538993</v>
      </c>
      <c r="M68" s="28"/>
      <c r="N68" s="28">
        <v>71.625806</v>
      </c>
      <c r="O68" s="28">
        <v>25</v>
      </c>
      <c r="P68" s="28">
        <v>20.918183</v>
      </c>
      <c r="Q68" s="28">
        <v>284.302011</v>
      </c>
      <c r="R68" s="47">
        <v>11.853686</v>
      </c>
      <c r="S68" s="64">
        <v>158.512422</v>
      </c>
      <c r="T68" s="65">
        <v>216.538993</v>
      </c>
      <c r="U68" s="28"/>
      <c r="V68" s="66">
        <v>99.714358</v>
      </c>
      <c r="W68" s="66">
        <v>25</v>
      </c>
      <c r="X68" s="66">
        <v>19.31747</v>
      </c>
      <c r="Y68" s="66">
        <v>262.546497</v>
      </c>
      <c r="Z68" s="80">
        <v>10.946612</v>
      </c>
    </row>
    <row r="69" spans="1:26">
      <c r="A69" s="25"/>
      <c r="B69" s="26">
        <v>30</v>
      </c>
      <c r="C69" s="27">
        <v>188.99558</v>
      </c>
      <c r="D69" s="28">
        <v>254.805369</v>
      </c>
      <c r="E69" s="28"/>
      <c r="F69" s="28">
        <v>43.987079</v>
      </c>
      <c r="G69" s="28">
        <v>30</v>
      </c>
      <c r="H69" s="28">
        <v>27.069071</v>
      </c>
      <c r="I69" s="28">
        <v>367.899614</v>
      </c>
      <c r="J69" s="47">
        <v>15.339204</v>
      </c>
      <c r="K69" s="48">
        <v>188.99558</v>
      </c>
      <c r="L69" s="28">
        <v>254.805369</v>
      </c>
      <c r="M69" s="28"/>
      <c r="N69" s="28">
        <v>72.365839</v>
      </c>
      <c r="O69" s="28">
        <v>30</v>
      </c>
      <c r="P69" s="28">
        <v>25.17815</v>
      </c>
      <c r="Q69" s="28">
        <v>342.199827</v>
      </c>
      <c r="R69" s="47">
        <v>14.267678</v>
      </c>
      <c r="S69" s="64">
        <v>188.99558</v>
      </c>
      <c r="T69" s="65">
        <v>254.805369</v>
      </c>
      <c r="U69" s="28"/>
      <c r="V69" s="66">
        <v>100.7446</v>
      </c>
      <c r="W69" s="66">
        <v>30</v>
      </c>
      <c r="X69" s="66">
        <v>23.287228</v>
      </c>
      <c r="Y69" s="66">
        <v>316.50004</v>
      </c>
      <c r="Z69" s="80">
        <v>13.196151</v>
      </c>
    </row>
    <row r="70" spans="1:26">
      <c r="A70" s="25"/>
      <c r="B70" s="26">
        <v>35</v>
      </c>
      <c r="C70" s="27">
        <v>219.478738</v>
      </c>
      <c r="D70" s="28">
        <v>293.071345</v>
      </c>
      <c r="E70" s="28"/>
      <c r="F70" s="28">
        <v>44.440313</v>
      </c>
      <c r="G70" s="28">
        <v>35</v>
      </c>
      <c r="H70" s="28">
        <v>31.615838</v>
      </c>
      <c r="I70" s="28">
        <v>429.695363</v>
      </c>
      <c r="J70" s="47">
        <v>17.915716</v>
      </c>
      <c r="K70" s="48">
        <v>219.478738</v>
      </c>
      <c r="L70" s="28">
        <v>293.071345</v>
      </c>
      <c r="M70" s="28"/>
      <c r="N70" s="28">
        <v>73.111482</v>
      </c>
      <c r="O70" s="28">
        <v>35</v>
      </c>
      <c r="P70" s="28">
        <v>29.432507</v>
      </c>
      <c r="Q70" s="28">
        <v>400.021405</v>
      </c>
      <c r="R70" s="47">
        <v>16.67849</v>
      </c>
      <c r="S70" s="64">
        <v>219.478738</v>
      </c>
      <c r="T70" s="65">
        <v>293.071345</v>
      </c>
      <c r="U70" s="28"/>
      <c r="V70" s="66">
        <v>101.782652</v>
      </c>
      <c r="W70" s="66">
        <v>35</v>
      </c>
      <c r="X70" s="66">
        <v>27.249176</v>
      </c>
      <c r="Y70" s="66">
        <v>370.347447</v>
      </c>
      <c r="Z70" s="80">
        <v>15.441264</v>
      </c>
    </row>
    <row r="71" spans="1:26">
      <c r="A71" s="25"/>
      <c r="B71" s="26">
        <v>40</v>
      </c>
      <c r="C71" s="27">
        <v>249.961896</v>
      </c>
      <c r="D71" s="28">
        <v>331.336925</v>
      </c>
      <c r="E71" s="28"/>
      <c r="F71" s="28">
        <v>44.896956</v>
      </c>
      <c r="G71" s="28">
        <v>40</v>
      </c>
      <c r="H71" s="28">
        <v>36.159194</v>
      </c>
      <c r="I71" s="28">
        <v>491.444771</v>
      </c>
      <c r="J71" s="47">
        <v>20.490295</v>
      </c>
      <c r="K71" s="48">
        <v>249.961896</v>
      </c>
      <c r="L71" s="28">
        <v>331.336925</v>
      </c>
      <c r="M71" s="28"/>
      <c r="N71" s="28">
        <v>73.862734</v>
      </c>
      <c r="O71" s="28">
        <v>40</v>
      </c>
      <c r="P71" s="28">
        <v>33.681255</v>
      </c>
      <c r="Q71" s="28">
        <v>457.766744</v>
      </c>
      <c r="R71" s="47">
        <v>19.086124</v>
      </c>
      <c r="S71" s="64">
        <v>249.961896</v>
      </c>
      <c r="T71" s="65">
        <v>331.336925</v>
      </c>
      <c r="U71" s="28"/>
      <c r="V71" s="66">
        <v>102.828512</v>
      </c>
      <c r="W71" s="66">
        <v>40</v>
      </c>
      <c r="X71" s="66">
        <v>31.203316</v>
      </c>
      <c r="Y71" s="66">
        <v>424.088718</v>
      </c>
      <c r="Z71" s="80">
        <v>17.681953</v>
      </c>
    </row>
    <row r="72" spans="1:26">
      <c r="A72" s="25"/>
      <c r="B72" s="26">
        <v>45</v>
      </c>
      <c r="C72" s="27">
        <v>280.445054</v>
      </c>
      <c r="D72" s="28">
        <v>369.602115</v>
      </c>
      <c r="E72" s="28"/>
      <c r="F72" s="28">
        <v>45.357009</v>
      </c>
      <c r="G72" s="28">
        <v>45</v>
      </c>
      <c r="H72" s="28">
        <v>40.699141</v>
      </c>
      <c r="I72" s="28">
        <v>553.147839</v>
      </c>
      <c r="J72" s="47">
        <v>23.062943</v>
      </c>
      <c r="K72" s="48">
        <v>280.445054</v>
      </c>
      <c r="L72" s="28">
        <v>369.602115</v>
      </c>
      <c r="M72" s="28"/>
      <c r="N72" s="28">
        <v>74.619596</v>
      </c>
      <c r="O72" s="28">
        <v>45</v>
      </c>
      <c r="P72" s="28">
        <v>37.924393</v>
      </c>
      <c r="Q72" s="28">
        <v>515.435847</v>
      </c>
      <c r="R72" s="47">
        <v>21.490579</v>
      </c>
      <c r="S72" s="64">
        <v>280.445054</v>
      </c>
      <c r="T72" s="65">
        <v>369.602115</v>
      </c>
      <c r="U72" s="28"/>
      <c r="V72" s="66">
        <v>103.882182</v>
      </c>
      <c r="W72" s="66">
        <v>45</v>
      </c>
      <c r="X72" s="66">
        <v>35.149646</v>
      </c>
      <c r="Y72" s="66">
        <v>477.723856</v>
      </c>
      <c r="Z72" s="80">
        <v>19.918216</v>
      </c>
    </row>
    <row r="73" spans="1:26">
      <c r="A73" s="29"/>
      <c r="B73" s="30">
        <v>50</v>
      </c>
      <c r="C73" s="31">
        <v>310.928212</v>
      </c>
      <c r="D73" s="32">
        <v>407.866921</v>
      </c>
      <c r="E73" s="32"/>
      <c r="F73" s="32">
        <v>45.820472</v>
      </c>
      <c r="G73" s="32">
        <v>45.820472</v>
      </c>
      <c r="H73" s="32">
        <v>41.05615</v>
      </c>
      <c r="I73" s="50">
        <v>558</v>
      </c>
      <c r="J73" s="51">
        <v>23.265249</v>
      </c>
      <c r="K73" s="52">
        <v>310.928212</v>
      </c>
      <c r="L73" s="32">
        <v>407.866921</v>
      </c>
      <c r="M73" s="32"/>
      <c r="N73" s="32">
        <v>75.382066</v>
      </c>
      <c r="O73" s="32">
        <v>50</v>
      </c>
      <c r="P73" s="32">
        <v>42.161923</v>
      </c>
      <c r="Q73" s="32">
        <v>573.028714</v>
      </c>
      <c r="R73" s="51">
        <v>23.891856</v>
      </c>
      <c r="S73" s="68">
        <v>310.928212</v>
      </c>
      <c r="T73" s="69">
        <v>407.866921</v>
      </c>
      <c r="U73" s="32"/>
      <c r="V73" s="70">
        <v>104.943661</v>
      </c>
      <c r="W73" s="70">
        <v>50</v>
      </c>
      <c r="X73" s="70">
        <v>39.088167</v>
      </c>
      <c r="Y73" s="70">
        <v>531.252861</v>
      </c>
      <c r="Z73" s="81">
        <v>22.150054</v>
      </c>
    </row>
    <row r="74" ht="27" customHeight="1" spans="1:26">
      <c r="A74" s="19"/>
      <c r="B74" s="20"/>
      <c r="C74" s="17" t="s">
        <v>29</v>
      </c>
      <c r="D74" s="18"/>
      <c r="E74" s="18"/>
      <c r="F74" s="18"/>
      <c r="G74" s="18"/>
      <c r="H74" s="18"/>
      <c r="I74" s="18"/>
      <c r="J74" s="44"/>
      <c r="K74" s="17" t="s">
        <v>30</v>
      </c>
      <c r="L74" s="18"/>
      <c r="M74" s="18"/>
      <c r="N74" s="18"/>
      <c r="O74" s="18"/>
      <c r="P74" s="18"/>
      <c r="Q74" s="18"/>
      <c r="R74" s="44"/>
      <c r="S74" s="17" t="s">
        <v>31</v>
      </c>
      <c r="T74" s="18"/>
      <c r="U74" s="18"/>
      <c r="V74" s="18"/>
      <c r="W74" s="18"/>
      <c r="X74" s="18"/>
      <c r="Y74" s="18"/>
      <c r="Z74" s="44"/>
    </row>
    <row r="75" spans="1:26">
      <c r="A75" s="33" t="s">
        <v>32</v>
      </c>
      <c r="B75" s="34">
        <v>5</v>
      </c>
      <c r="C75" s="35">
        <v>36.57979</v>
      </c>
      <c r="D75" s="36">
        <v>63.747467</v>
      </c>
      <c r="E75" s="36">
        <v>30.986</v>
      </c>
      <c r="F75" s="36">
        <v>31.54898</v>
      </c>
      <c r="G75" s="36">
        <v>5</v>
      </c>
      <c r="H75" s="36">
        <v>4.43702</v>
      </c>
      <c r="I75" s="36">
        <v>60.571214</v>
      </c>
      <c r="J75" s="53">
        <v>2.525456</v>
      </c>
      <c r="K75" s="54">
        <v>36.57979</v>
      </c>
      <c r="L75" s="36">
        <v>63.747467</v>
      </c>
      <c r="M75" s="36">
        <v>57.357064</v>
      </c>
      <c r="N75" s="36">
        <v>58.399175</v>
      </c>
      <c r="O75" s="36">
        <v>5</v>
      </c>
      <c r="P75" s="36">
        <v>3.957889</v>
      </c>
      <c r="Q75" s="36">
        <v>54.030433</v>
      </c>
      <c r="R75" s="53">
        <v>2.252745</v>
      </c>
      <c r="S75" s="71">
        <v>36.57979</v>
      </c>
      <c r="T75" s="72">
        <v>63.747467</v>
      </c>
      <c r="U75" s="36">
        <v>83.728128</v>
      </c>
      <c r="V75" s="73">
        <v>85.249371</v>
      </c>
      <c r="W75" s="73">
        <v>5</v>
      </c>
      <c r="X75" s="73">
        <v>3.478757</v>
      </c>
      <c r="Y75" s="73">
        <v>47.489652</v>
      </c>
      <c r="Z75" s="82">
        <v>1.980033</v>
      </c>
    </row>
    <row r="76" spans="1:26">
      <c r="A76" s="37"/>
      <c r="B76" s="34">
        <v>10</v>
      </c>
      <c r="C76" s="35">
        <v>67.062948</v>
      </c>
      <c r="D76" s="36">
        <v>102.13098</v>
      </c>
      <c r="E76" s="36"/>
      <c r="F76" s="36">
        <v>31.891595</v>
      </c>
      <c r="G76" s="36">
        <v>10</v>
      </c>
      <c r="H76" s="36">
        <v>9.094405</v>
      </c>
      <c r="I76" s="36">
        <v>124.150695</v>
      </c>
      <c r="J76" s="53">
        <v>5.176338</v>
      </c>
      <c r="K76" s="54">
        <v>67.062948</v>
      </c>
      <c r="L76" s="36">
        <v>102.13098</v>
      </c>
      <c r="M76" s="36"/>
      <c r="N76" s="36">
        <v>59.033378</v>
      </c>
      <c r="O76" s="36">
        <v>10</v>
      </c>
      <c r="P76" s="36">
        <v>8.323687</v>
      </c>
      <c r="Q76" s="36">
        <v>113.629361</v>
      </c>
      <c r="R76" s="53">
        <v>4.737662</v>
      </c>
      <c r="S76" s="71">
        <v>67.062948</v>
      </c>
      <c r="T76" s="72">
        <v>102.13098</v>
      </c>
      <c r="U76" s="36"/>
      <c r="V76" s="73">
        <v>86.17516</v>
      </c>
      <c r="W76" s="73">
        <v>10</v>
      </c>
      <c r="X76" s="73">
        <v>7.552968</v>
      </c>
      <c r="Y76" s="73">
        <v>103.108027</v>
      </c>
      <c r="Z76" s="82">
        <v>4.298985</v>
      </c>
    </row>
    <row r="77" spans="1:26">
      <c r="A77" s="37"/>
      <c r="B77" s="34">
        <v>15</v>
      </c>
      <c r="C77" s="35">
        <v>97.546106</v>
      </c>
      <c r="D77" s="36">
        <v>140.40268</v>
      </c>
      <c r="E77" s="36"/>
      <c r="F77" s="36">
        <v>32.235932</v>
      </c>
      <c r="G77" s="36">
        <v>15</v>
      </c>
      <c r="H77" s="36">
        <v>13.750068</v>
      </c>
      <c r="I77" s="36">
        <v>187.706667</v>
      </c>
      <c r="J77" s="53">
        <v>7.826241</v>
      </c>
      <c r="K77" s="54">
        <v>97.546106</v>
      </c>
      <c r="L77" s="36">
        <v>140.40268</v>
      </c>
      <c r="M77" s="36"/>
      <c r="N77" s="36">
        <v>59.670768</v>
      </c>
      <c r="O77" s="36">
        <v>15</v>
      </c>
      <c r="P77" s="36">
        <v>12.686296</v>
      </c>
      <c r="Q77" s="36">
        <v>173.184772</v>
      </c>
      <c r="R77" s="53">
        <v>7.220765</v>
      </c>
      <c r="S77" s="71">
        <v>97.546106</v>
      </c>
      <c r="T77" s="72">
        <v>140.40268</v>
      </c>
      <c r="U77" s="36"/>
      <c r="V77" s="73">
        <v>87.105604</v>
      </c>
      <c r="W77" s="73">
        <v>15</v>
      </c>
      <c r="X77" s="73">
        <v>11.622525</v>
      </c>
      <c r="Y77" s="73">
        <v>158.662876</v>
      </c>
      <c r="Z77" s="82">
        <v>6.615289</v>
      </c>
    </row>
    <row r="78" spans="1:26">
      <c r="A78" s="37"/>
      <c r="B78" s="34">
        <v>20</v>
      </c>
      <c r="C78" s="35">
        <v>128.029264</v>
      </c>
      <c r="D78" s="36">
        <v>178.673466</v>
      </c>
      <c r="E78" s="36"/>
      <c r="F78" s="36">
        <v>32.582977</v>
      </c>
      <c r="G78" s="36">
        <v>20</v>
      </c>
      <c r="H78" s="36">
        <v>18.403023</v>
      </c>
      <c r="I78" s="36">
        <v>251.225673</v>
      </c>
      <c r="J78" s="53">
        <v>10.474602</v>
      </c>
      <c r="K78" s="54">
        <v>128.029264</v>
      </c>
      <c r="L78" s="36">
        <v>178.673466</v>
      </c>
      <c r="M78" s="36"/>
      <c r="N78" s="36">
        <v>60.31317</v>
      </c>
      <c r="O78" s="36">
        <v>20</v>
      </c>
      <c r="P78" s="36">
        <v>17.043894</v>
      </c>
      <c r="Q78" s="36">
        <v>232.671755</v>
      </c>
      <c r="R78" s="53">
        <v>9.701015</v>
      </c>
      <c r="S78" s="71">
        <v>128.029264</v>
      </c>
      <c r="T78" s="72">
        <v>178.673466</v>
      </c>
      <c r="U78" s="36"/>
      <c r="V78" s="73">
        <v>88.043364</v>
      </c>
      <c r="W78" s="73">
        <v>20</v>
      </c>
      <c r="X78" s="73">
        <v>15.684764</v>
      </c>
      <c r="Y78" s="73">
        <v>214.117837</v>
      </c>
      <c r="Z78" s="82">
        <v>8.927428</v>
      </c>
    </row>
    <row r="79" spans="1:26">
      <c r="A79" s="37"/>
      <c r="B79" s="34">
        <v>25</v>
      </c>
      <c r="C79" s="35">
        <v>158.512422</v>
      </c>
      <c r="D79" s="36">
        <v>216.94383</v>
      </c>
      <c r="E79" s="36"/>
      <c r="F79" s="36">
        <v>32.932734</v>
      </c>
      <c r="G79" s="36">
        <v>25</v>
      </c>
      <c r="H79" s="36">
        <v>23.053266</v>
      </c>
      <c r="I79" s="36">
        <v>314.707654</v>
      </c>
      <c r="J79" s="53">
        <v>13.121419</v>
      </c>
      <c r="K79" s="54">
        <v>158.512422</v>
      </c>
      <c r="L79" s="36">
        <v>216.94383</v>
      </c>
      <c r="M79" s="36"/>
      <c r="N79" s="36">
        <v>60.960594</v>
      </c>
      <c r="O79" s="36">
        <v>25</v>
      </c>
      <c r="P79" s="36">
        <v>21.396471</v>
      </c>
      <c r="Q79" s="36">
        <v>292.090203</v>
      </c>
      <c r="R79" s="53">
        <v>12.178407</v>
      </c>
      <c r="S79" s="71">
        <v>158.512422</v>
      </c>
      <c r="T79" s="72">
        <v>216.94383</v>
      </c>
      <c r="U79" s="36"/>
      <c r="V79" s="73">
        <v>88.988453</v>
      </c>
      <c r="W79" s="73">
        <v>25</v>
      </c>
      <c r="X79" s="73">
        <v>19.739676</v>
      </c>
      <c r="Y79" s="73">
        <v>269.472752</v>
      </c>
      <c r="Z79" s="82">
        <v>11.235395</v>
      </c>
    </row>
    <row r="80" spans="1:26">
      <c r="A80" s="37"/>
      <c r="B80" s="34">
        <v>30</v>
      </c>
      <c r="C80" s="35">
        <v>188.99558</v>
      </c>
      <c r="D80" s="36">
        <v>255.213778</v>
      </c>
      <c r="E80" s="36"/>
      <c r="F80" s="36">
        <v>33.285204</v>
      </c>
      <c r="G80" s="36">
        <v>30</v>
      </c>
      <c r="H80" s="36">
        <v>27.700796</v>
      </c>
      <c r="I80" s="36">
        <v>378.152609</v>
      </c>
      <c r="J80" s="53">
        <v>15.766693</v>
      </c>
      <c r="K80" s="54">
        <v>188.99558</v>
      </c>
      <c r="L80" s="36">
        <v>255.213778</v>
      </c>
      <c r="M80" s="36"/>
      <c r="N80" s="36">
        <v>61.613037</v>
      </c>
      <c r="O80" s="36">
        <v>30</v>
      </c>
      <c r="P80" s="36">
        <v>25.744027</v>
      </c>
      <c r="Q80" s="36">
        <v>351.440115</v>
      </c>
      <c r="R80" s="53">
        <v>14.652942</v>
      </c>
      <c r="S80" s="71">
        <v>188.99558</v>
      </c>
      <c r="T80" s="72">
        <v>255.213778</v>
      </c>
      <c r="U80" s="36"/>
      <c r="V80" s="73">
        <v>89.94087</v>
      </c>
      <c r="W80" s="73">
        <v>30</v>
      </c>
      <c r="X80" s="73">
        <v>23.787258</v>
      </c>
      <c r="Y80" s="73">
        <v>324.72762</v>
      </c>
      <c r="Z80" s="82">
        <v>13.539191</v>
      </c>
    </row>
    <row r="81" spans="1:26">
      <c r="A81" s="37"/>
      <c r="B81" s="34">
        <v>35</v>
      </c>
      <c r="C81" s="35">
        <v>219.478738</v>
      </c>
      <c r="D81" s="36">
        <v>293.483316</v>
      </c>
      <c r="E81" s="36"/>
      <c r="F81" s="36">
        <v>33.640386</v>
      </c>
      <c r="G81" s="36">
        <v>33.640386</v>
      </c>
      <c r="H81" s="36">
        <v>30.986</v>
      </c>
      <c r="I81" s="55">
        <v>423</v>
      </c>
      <c r="J81" s="53">
        <v>17.63656</v>
      </c>
      <c r="K81" s="54">
        <v>219.478738</v>
      </c>
      <c r="L81" s="36">
        <v>293.483316</v>
      </c>
      <c r="M81" s="36"/>
      <c r="N81" s="36">
        <v>62.270501</v>
      </c>
      <c r="O81" s="36">
        <v>35</v>
      </c>
      <c r="P81" s="36">
        <v>30.086563</v>
      </c>
      <c r="Q81" s="36">
        <v>410.721492</v>
      </c>
      <c r="R81" s="53">
        <v>17.124619</v>
      </c>
      <c r="S81" s="71">
        <v>219.478738</v>
      </c>
      <c r="T81" s="72">
        <v>293.483316</v>
      </c>
      <c r="U81" s="36"/>
      <c r="V81" s="73">
        <v>90.900616</v>
      </c>
      <c r="W81" s="73">
        <v>35</v>
      </c>
      <c r="X81" s="73">
        <v>27.827512</v>
      </c>
      <c r="Y81" s="73">
        <v>379.882444</v>
      </c>
      <c r="Z81" s="82">
        <v>15.838816</v>
      </c>
    </row>
    <row r="82" spans="1:26">
      <c r="A82" s="37"/>
      <c r="B82" s="34">
        <v>40</v>
      </c>
      <c r="C82" s="35">
        <v>249.961896</v>
      </c>
      <c r="D82" s="36">
        <v>331.752451</v>
      </c>
      <c r="E82" s="36"/>
      <c r="F82" s="36">
        <v>33.998279</v>
      </c>
      <c r="G82" s="36">
        <v>33.998279</v>
      </c>
      <c r="H82" s="36">
        <v>30.986</v>
      </c>
      <c r="I82" s="55">
        <v>423</v>
      </c>
      <c r="J82" s="53">
        <v>17.63656</v>
      </c>
      <c r="K82" s="54">
        <v>249.961896</v>
      </c>
      <c r="L82" s="36">
        <v>331.752451</v>
      </c>
      <c r="M82" s="36"/>
      <c r="N82" s="36">
        <v>62.932985</v>
      </c>
      <c r="O82" s="36">
        <v>40</v>
      </c>
      <c r="P82" s="36">
        <v>34.424079</v>
      </c>
      <c r="Q82" s="36">
        <v>469.934335</v>
      </c>
      <c r="R82" s="53">
        <v>19.593439</v>
      </c>
      <c r="S82" s="71">
        <v>249.961896</v>
      </c>
      <c r="T82" s="72">
        <v>331.752451</v>
      </c>
      <c r="U82" s="36"/>
      <c r="V82" s="73">
        <v>91.867691</v>
      </c>
      <c r="W82" s="73">
        <v>40</v>
      </c>
      <c r="X82" s="73">
        <v>31.860437</v>
      </c>
      <c r="Y82" s="73">
        <v>434.937223</v>
      </c>
      <c r="Z82" s="82">
        <v>18.13427</v>
      </c>
    </row>
    <row r="83" spans="1:26">
      <c r="A83" s="37"/>
      <c r="B83" s="34">
        <v>45</v>
      </c>
      <c r="C83" s="35">
        <v>280.445054</v>
      </c>
      <c r="D83" s="36">
        <v>370.021188</v>
      </c>
      <c r="E83" s="36"/>
      <c r="F83" s="36">
        <v>34.358885</v>
      </c>
      <c r="G83" s="36">
        <v>34.358885</v>
      </c>
      <c r="H83" s="36">
        <v>30.986</v>
      </c>
      <c r="I83" s="55">
        <v>423</v>
      </c>
      <c r="J83" s="53">
        <v>17.63656</v>
      </c>
      <c r="K83" s="54">
        <v>280.445054</v>
      </c>
      <c r="L83" s="36">
        <v>370.021188</v>
      </c>
      <c r="M83" s="36"/>
      <c r="N83" s="36">
        <v>63.60049</v>
      </c>
      <c r="O83" s="36">
        <v>45</v>
      </c>
      <c r="P83" s="36">
        <v>38.756574</v>
      </c>
      <c r="Q83" s="36">
        <v>529.078645</v>
      </c>
      <c r="R83" s="53">
        <v>22.059402</v>
      </c>
      <c r="S83" s="71">
        <v>280.445054</v>
      </c>
      <c r="T83" s="72">
        <v>370.021188</v>
      </c>
      <c r="U83" s="36"/>
      <c r="V83" s="73">
        <v>92.842094</v>
      </c>
      <c r="W83" s="73">
        <v>45</v>
      </c>
      <c r="X83" s="73">
        <v>35.886034</v>
      </c>
      <c r="Y83" s="73">
        <v>489.89196</v>
      </c>
      <c r="Z83" s="82">
        <v>20.425553</v>
      </c>
    </row>
    <row r="84" spans="1:26">
      <c r="A84" s="38"/>
      <c r="B84" s="39">
        <v>50</v>
      </c>
      <c r="C84" s="40">
        <v>310.928212</v>
      </c>
      <c r="D84" s="41">
        <v>408.289531</v>
      </c>
      <c r="E84" s="41"/>
      <c r="F84" s="41">
        <v>34.722203</v>
      </c>
      <c r="G84" s="41">
        <v>34.722203</v>
      </c>
      <c r="H84" s="41">
        <v>30.986</v>
      </c>
      <c r="I84" s="56">
        <v>423</v>
      </c>
      <c r="J84" s="57">
        <v>17.63656</v>
      </c>
      <c r="K84" s="58">
        <v>310.928212</v>
      </c>
      <c r="L84" s="41">
        <v>408.289531</v>
      </c>
      <c r="M84" s="41"/>
      <c r="N84" s="41">
        <v>64.273014</v>
      </c>
      <c r="O84" s="41">
        <v>50</v>
      </c>
      <c r="P84" s="41">
        <v>43.08405</v>
      </c>
      <c r="Q84" s="41">
        <v>588.154423</v>
      </c>
      <c r="R84" s="57">
        <v>24.522507</v>
      </c>
      <c r="S84" s="75">
        <v>310.928212</v>
      </c>
      <c r="T84" s="76">
        <v>408.289531</v>
      </c>
      <c r="U84" s="41"/>
      <c r="V84" s="77">
        <v>93.823826</v>
      </c>
      <c r="W84" s="77">
        <v>50</v>
      </c>
      <c r="X84" s="77">
        <v>39.904303</v>
      </c>
      <c r="Y84" s="77">
        <v>544.746656</v>
      </c>
      <c r="Z84" s="83">
        <v>22.712664</v>
      </c>
    </row>
  </sheetData>
  <mergeCells count="54">
    <mergeCell ref="A6:B6"/>
    <mergeCell ref="C7:Z7"/>
    <mergeCell ref="C8:J8"/>
    <mergeCell ref="K8:R8"/>
    <mergeCell ref="S8:Z8"/>
    <mergeCell ref="C20:J20"/>
    <mergeCell ref="K20:R20"/>
    <mergeCell ref="S20:Z20"/>
    <mergeCell ref="A33:B33"/>
    <mergeCell ref="C34:Z34"/>
    <mergeCell ref="C35:J35"/>
    <mergeCell ref="K35:R35"/>
    <mergeCell ref="S35:Z35"/>
    <mergeCell ref="C47:J47"/>
    <mergeCell ref="K47:R47"/>
    <mergeCell ref="S47:Z47"/>
    <mergeCell ref="A60:B60"/>
    <mergeCell ref="C61:Z61"/>
    <mergeCell ref="C62:J62"/>
    <mergeCell ref="K62:R62"/>
    <mergeCell ref="S62:Z62"/>
    <mergeCell ref="C74:J74"/>
    <mergeCell ref="K74:R74"/>
    <mergeCell ref="S74:Z74"/>
    <mergeCell ref="A7:A9"/>
    <mergeCell ref="A10:A19"/>
    <mergeCell ref="A21:A30"/>
    <mergeCell ref="A34:A36"/>
    <mergeCell ref="A37:A46"/>
    <mergeCell ref="A48:A57"/>
    <mergeCell ref="A61:A63"/>
    <mergeCell ref="A64:A73"/>
    <mergeCell ref="A75:A84"/>
    <mergeCell ref="B7:B8"/>
    <mergeCell ref="B34:B35"/>
    <mergeCell ref="B61:B62"/>
    <mergeCell ref="E10:E19"/>
    <mergeCell ref="E21:E30"/>
    <mergeCell ref="E37:E46"/>
    <mergeCell ref="E48:E57"/>
    <mergeCell ref="E64:E73"/>
    <mergeCell ref="E75:E84"/>
    <mergeCell ref="M10:M19"/>
    <mergeCell ref="M21:M30"/>
    <mergeCell ref="M37:M46"/>
    <mergeCell ref="M48:M57"/>
    <mergeCell ref="M64:M73"/>
    <mergeCell ref="M75:M84"/>
    <mergeCell ref="U10:U19"/>
    <mergeCell ref="U21:U30"/>
    <mergeCell ref="U37:U46"/>
    <mergeCell ref="U48:U57"/>
    <mergeCell ref="U64:U73"/>
    <mergeCell ref="U75:U8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Khoa</cp:lastModifiedBy>
  <dcterms:created xsi:type="dcterms:W3CDTF">2025-07-21T09:59:00Z</dcterms:created>
  <dcterms:modified xsi:type="dcterms:W3CDTF">2025-10-11T18:57:50Z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384193DA38FB46339DA381B3EE611B35_12</vt:lpwstr>
  </property>
  <property fmtid="{D5CDD505-2E9C-101B-9397-08002B2CF9AE}" pid="3" name="KSOProductBuildVer">
    <vt:lpwstr>1033-12.2.0.22549</vt:lpwstr>
  </property>
  <property fmtid="{D5CDD505-2E9C-101B-9397-08002B2CF9AE}" pid="4" name="KSOReadingLayout">
    <vt:bool>false</vt:bool>
  </property>
</Properties>
</file>