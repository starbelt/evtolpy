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Testing" sheetId="2" r:id="rId1"/>
    <sheet name="Low Altitude (1500 ft)" sheetId="1" r:id="rId2"/>
    <sheet name="High Altitude (3000 f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<sst xmlns="http://schemas.openxmlformats.org/spreadsheetml/2006/main" count="404" uniqueCount="99">
  <si>
    <t>Mission Segment</t>
  </si>
  <si>
    <t>Current JSON File</t>
  </si>
  <si>
    <t>Velocity
(m/s)</t>
  </si>
  <si>
    <t>Time
(s)</t>
  </si>
  <si>
    <t>Distance
(m)</t>
  </si>
  <si>
    <t>Distance
(mi)</t>
  </si>
  <si>
    <t>Δh (ft)</t>
  </si>
  <si>
    <t>Cumulative AGL (ft)</t>
  </si>
  <si>
    <t>Depart Taxi</t>
  </si>
  <si>
    <t>→</t>
  </si>
  <si>
    <t>depart_taxi_avg_h_m_p_s</t>
  </si>
  <si>
    <t>↑</t>
  </si>
  <si>
    <t>Hover climb</t>
  </si>
  <si>
    <t>hover_climb_avg_v_m_p_s</t>
  </si>
  <si>
    <t>Transition Climb</t>
  </si>
  <si>
    <t>trans_climb_avg_h_m_p_s</t>
  </si>
  <si>
    <t>trans_climb_v_m_p_s</t>
  </si>
  <si>
    <t>Depart Procedures</t>
  </si>
  <si>
    <t>depart_proc_h_m_p_s</t>
  </si>
  <si>
    <t>Accelerate Climb</t>
  </si>
  <si>
    <t>accel_climb_avg_h_m_p_s</t>
  </si>
  <si>
    <t>accel_climb_v_m_p_s</t>
  </si>
  <si>
    <t>Cruise</t>
  </si>
  <si>
    <t>cruise_h_m_p_s</t>
  </si>
  <si>
    <t>Decelerate Descend</t>
  </si>
  <si>
    <t>decel_descend_avg_h_m_p_s</t>
  </si>
  <si>
    <t>decel_descend_v_m_p_s</t>
  </si>
  <si>
    <t>−2,392.7</t>
  </si>
  <si>
    <t>Arrive Procedures</t>
  </si>
  <si>
    <t>arrive_proc_h_m_p_s</t>
  </si>
  <si>
    <t>Transition Descend</t>
  </si>
  <si>
    <t>trans_descend_avg_h_m_p_s</t>
  </si>
  <si>
    <t>trans_descend_v_m_p_s</t>
  </si>
  <si>
    <t>−502.0</t>
  </si>
  <si>
    <t>Hover Descend</t>
  </si>
  <si>
    <t>hover_descend_avg_v_m_p_s</t>
  </si>
  <si>
    <t>−100.0</t>
  </si>
  <si>
    <t>Arrive Taxi</t>
  </si>
  <si>
    <t>arrive_taxi_avg_h_m_p_s</t>
  </si>
  <si>
    <t>Reserve Hover Climb</t>
  </si>
  <si>
    <t>reserve_hover_climb_avg_v_m_p_s</t>
  </si>
  <si>
    <t>Reserve Transition Climb</t>
  </si>
  <si>
    <t>reserve_trans_climb_avg_h_m_p_s</t>
  </si>
  <si>
    <t>reserve_trans_climb_v_m_p_s</t>
  </si>
  <si>
    <t>Reserve Accelerate Climb</t>
  </si>
  <si>
    <t>reserve_accel_climb_avg_h_m_p_s</t>
  </si>
  <si>
    <t>reserve_accel_climb_v_m_p_s</t>
  </si>
  <si>
    <t>Reserve Cruise</t>
  </si>
  <si>
    <t>reserve_cruise_h_m_p_s</t>
  </si>
  <si>
    <t>Reserve Decelerate Descend</t>
  </si>
  <si>
    <t>reserve_decel_descend_avg_h_m_p_s</t>
  </si>
  <si>
    <t>reserve_decel_descend_v_m_p_s</t>
  </si>
  <si>
    <t>−401.6</t>
  </si>
  <si>
    <t>Reserve Transition Descend</t>
  </si>
  <si>
    <t>reserve_trans_descend_avg_h_m_p_s</t>
  </si>
  <si>
    <t>reserve_trans_descend_v_m_p_s</t>
  </si>
  <si>
    <t>Reserve Hover Descend</t>
  </si>
  <si>
    <t>reserve_hover_descend_avg_v_m_p_s</t>
  </si>
  <si>
    <t>Time (s):</t>
  </si>
  <si>
    <t>Distance (mi)</t>
  </si>
  <si>
    <t>V_stall (m/s)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</si>
  <si>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</si>
  <si>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For sensitivity analysis, keep horizontal and vertical speeds fixed; only adjust the time of each segment based on the original JSON file.</t>
  </si>
  <si>
    <t>Main mission</t>
  </si>
  <si>
    <t>Most segment times are scaled from the original JSON file.</t>
  </si>
  <si>
    <t>Reserve - Cumulative AGL (ft)</t>
  </si>
  <si>
    <t>Reserve mission</t>
  </si>
  <si>
    <t>The only parameter that changes between missions of different ranges is cruise time.</t>
  </si>
  <si>
    <t>Reserve Range (mi)</t>
  </si>
  <si>
    <t>The reserve mission is the same for all cases at the same altitude</t>
  </si>
  <si>
    <t>Short Range (mi)</t>
  </si>
  <si>
    <r>
      <rPr>
        <sz val="11"/>
        <color rgb="FFFF0000"/>
        <rFont val="Calibri"/>
        <charset val="134"/>
        <scheme val="minor"/>
      </rPr>
      <t xml:space="preserve">Red: </t>
    </r>
    <r>
      <rPr>
        <sz val="11"/>
        <rFont val="Calibri"/>
        <charset val="134"/>
        <scheme val="minor"/>
      </rPr>
      <t>No change compared to the original JSON file (Taxi and Procedures times remain fixed).</t>
    </r>
  </si>
  <si>
    <t>Medium Range (mi)</t>
  </si>
  <si>
    <t>For the reserve mission, only the Accelerate/Decelerate Climb segments’ times differ from the main mission.</t>
  </si>
  <si>
    <t>Long Range (mi)</t>
  </si>
  <si>
    <t>Cruise time is adjusted based on the mission distance (all other segments remain fixed).</t>
  </si>
  <si>
    <t>Taxi phases are not accounted for the mission's range</t>
  </si>
  <si>
    <t>Short Range
(30 miles)</t>
  </si>
  <si>
    <t>Medium Range
(45 miles)</t>
  </si>
  <si>
    <t>Long Range
(60 miles)</t>
  </si>
  <si>
    <t>Main</t>
  </si>
  <si>
    <t>~1500</t>
  </si>
  <si>
    <t>(min)</t>
  </si>
  <si>
    <t>(m)</t>
  </si>
  <si>
    <t>(mile)</t>
  </si>
  <si>
    <t>(ft)</t>
  </si>
  <si>
    <t>Reserve</t>
  </si>
  <si>
    <t>~500</t>
  </si>
  <si>
    <t>FIND CRUISE TIME</t>
  </si>
  <si>
    <t>Mission</t>
  </si>
  <si>
    <t>Cruise Distance</t>
  </si>
  <si>
    <t>Cruise Time (s)</t>
  </si>
  <si>
    <t>Short (mi)</t>
  </si>
  <si>
    <t>Medium (mi)</t>
  </si>
  <si>
    <t>Long (mi)</t>
  </si>
  <si>
    <t>Reserve (mi)</t>
  </si>
  <si>
    <t>~3000</t>
  </si>
  <si>
    <t>~1000</t>
  </si>
  <si>
    <t>Reserve (mi) - 1000 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</si>
</sst>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_ "/>
    <numFmt numFmtId="180" formatCode="0.0_);[Red]\(0.0\)"/>
    <numFmt numFmtId="181" formatCode="0_);[Red]\(0\)"/>
    <numFmt numFmtId="182" formatCode="0.00_ "/>
    <numFmt numFmtId="183" formatCode="0.00_);[Red]\(0.00\)"/>
  </numFmts>
  <fonts count="26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4" fillId="0" borderId="3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0" applyNumberFormat="0" applyAlignment="0" applyProtection="0">
      <alignment vertical="center"/>
    </xf>
    <xf numFmtId="0" fontId="16" fillId="8" borderId="41" applyNumberFormat="0" applyAlignment="0" applyProtection="0">
      <alignment vertical="center"/>
    </xf>
    <xf numFmtId="0" fontId="17" fillId="8" borderId="40" applyNumberFormat="0" applyAlignment="0" applyProtection="0">
      <alignment vertical="center"/>
    </xf>
    <xf numFmtId="0" fontId="18" fillId="9" borderId="42" applyNumberFormat="0" applyAlignment="0" applyProtection="0">
      <alignment vertical="center"/>
    </xf>
    <xf numFmtId="0" fontId="19" fillId="0" borderId="43" applyNumberFormat="0" applyFill="0" applyAlignment="0" applyProtection="0">
      <alignment vertical="center"/>
    </xf>
    <xf numFmtId="0" fontId="20" fillId="0" borderId="4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0" fontId="0" fillId="0" borderId="18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179" fontId="0" fillId="3" borderId="18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78" fontId="0" fillId="5" borderId="17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9" fontId="0" fillId="4" borderId="0" xfId="0" applyNumberFormat="1" applyFill="1" applyAlignment="1">
      <alignment horizontal="center" vertical="center"/>
    </xf>
    <xf numFmtId="179" fontId="0" fillId="4" borderId="18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80" fontId="0" fillId="0" borderId="19" xfId="0" applyNumberForma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81" fontId="6" fillId="3" borderId="23" xfId="0" applyNumberFormat="1" applyFont="1" applyFill="1" applyBorder="1" applyAlignment="1">
      <alignment horizontal="center" vertical="center"/>
    </xf>
    <xf numFmtId="178" fontId="6" fillId="3" borderId="24" xfId="0" applyNumberFormat="1" applyFont="1" applyFill="1" applyBorder="1" applyAlignment="1">
      <alignment horizontal="center" vertical="center"/>
    </xf>
    <xf numFmtId="179" fontId="6" fillId="3" borderId="24" xfId="0" applyNumberFormat="1" applyFont="1" applyFill="1" applyBorder="1" applyAlignment="1">
      <alignment horizontal="center" vertical="center"/>
    </xf>
    <xf numFmtId="180" fontId="6" fillId="3" borderId="25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81" fontId="6" fillId="3" borderId="17" xfId="0" applyNumberFormat="1" applyFont="1" applyFill="1" applyBorder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79" fontId="6" fillId="3" borderId="0" xfId="0" applyNumberFormat="1" applyFont="1" applyFill="1" applyAlignment="1">
      <alignment horizontal="center" vertical="center"/>
    </xf>
    <xf numFmtId="180" fontId="6" fillId="3" borderId="18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81" fontId="6" fillId="0" borderId="17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80" fontId="6" fillId="0" borderId="18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181" fontId="6" fillId="4" borderId="17" xfId="0" applyNumberFormat="1" applyFont="1" applyFill="1" applyBorder="1" applyAlignment="1">
      <alignment horizontal="center" vertical="center"/>
    </xf>
    <xf numFmtId="178" fontId="6" fillId="4" borderId="0" xfId="0" applyNumberFormat="1" applyFont="1" applyFill="1" applyAlignment="1">
      <alignment horizontal="center" vertical="center"/>
    </xf>
    <xf numFmtId="180" fontId="6" fillId="4" borderId="18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81" fontId="6" fillId="3" borderId="27" xfId="0" applyNumberFormat="1" applyFont="1" applyFill="1" applyBorder="1" applyAlignment="1">
      <alignment horizontal="center" vertical="center"/>
    </xf>
    <xf numFmtId="178" fontId="6" fillId="3" borderId="8" xfId="0" applyNumberFormat="1" applyFont="1" applyFill="1" applyBorder="1" applyAlignment="1">
      <alignment horizontal="center" vertical="center"/>
    </xf>
    <xf numFmtId="179" fontId="6" fillId="3" borderId="8" xfId="0" applyNumberFormat="1" applyFont="1" applyFill="1" applyBorder="1" applyAlignment="1">
      <alignment horizontal="center" vertical="center"/>
    </xf>
    <xf numFmtId="180" fontId="6" fillId="3" borderId="28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82" fontId="0" fillId="0" borderId="25" xfId="0" applyNumberFormat="1" applyBorder="1" applyAlignment="1">
      <alignment horizontal="center" vertical="center"/>
    </xf>
    <xf numFmtId="178" fontId="0" fillId="0" borderId="24" xfId="0" applyNumberFormat="1" applyBorder="1" applyAlignment="1">
      <alignment horizontal="center" vertical="center"/>
    </xf>
    <xf numFmtId="179" fontId="0" fillId="0" borderId="24" xfId="0" applyNumberFormat="1" applyBorder="1" applyAlignment="1">
      <alignment horizontal="center" vertical="center"/>
    </xf>
    <xf numFmtId="180" fontId="0" fillId="0" borderId="2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2" fontId="6" fillId="0" borderId="25" xfId="0" applyNumberFormat="1" applyFont="1" applyBorder="1" applyAlignment="1">
      <alignment horizontal="center" vertical="center"/>
    </xf>
    <xf numFmtId="178" fontId="6" fillId="0" borderId="24" xfId="0" applyNumberFormat="1" applyFont="1" applyBorder="1" applyAlignment="1">
      <alignment horizontal="center" vertical="center"/>
    </xf>
    <xf numFmtId="179" fontId="6" fillId="0" borderId="24" xfId="0" applyNumberFormat="1" applyFont="1" applyBorder="1" applyAlignment="1">
      <alignment horizontal="center" vertical="center"/>
    </xf>
    <xf numFmtId="183" fontId="6" fillId="0" borderId="24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Border="1" applyAlignment="1">
      <alignment horizontal="center" vertical="center"/>
    </xf>
    <xf numFmtId="179" fontId="0" fillId="0" borderId="31" xfId="0" applyNumberForma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 wrapText="1"/>
    </xf>
    <xf numFmtId="180" fontId="0" fillId="0" borderId="16" xfId="0" applyNumberFormat="1" applyFill="1" applyBorder="1" applyAlignment="1">
      <alignment horizontal="center" vertical="center"/>
    </xf>
    <xf numFmtId="179" fontId="0" fillId="3" borderId="16" xfId="0" applyNumberFormat="1" applyFill="1" applyBorder="1" applyAlignment="1">
      <alignment horizontal="center" vertical="center"/>
    </xf>
    <xf numFmtId="179" fontId="0" fillId="4" borderId="16" xfId="0" applyNumberFormat="1" applyFill="1" applyBorder="1" applyAlignment="1">
      <alignment horizontal="center" vertical="center"/>
    </xf>
    <xf numFmtId="180" fontId="0" fillId="0" borderId="35" xfId="0" applyNumberFormat="1" applyFill="1" applyBorder="1" applyAlignment="1">
      <alignment horizontal="center" vertical="center"/>
    </xf>
    <xf numFmtId="180" fontId="6" fillId="3" borderId="22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81" fontId="0" fillId="2" borderId="23" xfId="0" applyNumberFormat="1" applyFill="1" applyBorder="1" applyAlignment="1">
      <alignment horizontal="center" vertical="center"/>
    </xf>
    <xf numFmtId="178" fontId="0" fillId="3" borderId="24" xfId="0" applyNumberFormat="1" applyFill="1" applyBorder="1" applyAlignment="1">
      <alignment horizontal="center" vertical="center"/>
    </xf>
    <xf numFmtId="179" fontId="0" fillId="3" borderId="24" xfId="0" applyNumberFormat="1" applyFill="1" applyBorder="1" applyAlignment="1">
      <alignment horizontal="center" vertical="center"/>
    </xf>
    <xf numFmtId="180" fontId="0" fillId="3" borderId="25" xfId="0" applyNumberFormat="1" applyFill="1" applyBorder="1" applyAlignment="1">
      <alignment horizontal="center" vertical="center"/>
    </xf>
    <xf numFmtId="180" fontId="0" fillId="3" borderId="22" xfId="0" applyNumberFormat="1" applyFill="1" applyBorder="1" applyAlignment="1">
      <alignment horizontal="center" vertical="center"/>
    </xf>
    <xf numFmtId="183" fontId="0" fillId="3" borderId="20" xfId="0" applyNumberFormat="1" applyFill="1" applyBorder="1" applyAlignment="1">
      <alignment horizontal="center" vertical="center"/>
    </xf>
    <xf numFmtId="180" fontId="6" fillId="3" borderId="16" xfId="0" applyNumberFormat="1" applyFont="1" applyFill="1" applyBorder="1" applyAlignment="1">
      <alignment horizontal="center" vertical="center"/>
    </xf>
    <xf numFmtId="181" fontId="0" fillId="3" borderId="17" xfId="0" applyNumberFormat="1" applyFill="1" applyBorder="1" applyAlignment="1">
      <alignment horizontal="center" vertical="center"/>
    </xf>
    <xf numFmtId="180" fontId="0" fillId="3" borderId="18" xfId="0" applyNumberFormat="1" applyFill="1" applyBorder="1" applyAlignment="1">
      <alignment horizontal="center" vertical="center"/>
    </xf>
    <xf numFmtId="180" fontId="0" fillId="3" borderId="16" xfId="0" applyNumberFormat="1" applyFill="1" applyBorder="1" applyAlignment="1">
      <alignment horizontal="center" vertical="center"/>
    </xf>
    <xf numFmtId="183" fontId="0" fillId="3" borderId="14" xfId="0" applyNumberFormat="1" applyFill="1" applyBorder="1" applyAlignment="1">
      <alignment horizontal="center" vertical="center"/>
    </xf>
    <xf numFmtId="180" fontId="6" fillId="0" borderId="16" xfId="0" applyNumberFormat="1" applyFont="1" applyFill="1" applyBorder="1" applyAlignment="1">
      <alignment horizontal="center" vertical="center"/>
    </xf>
    <xf numFmtId="181" fontId="0" fillId="2" borderId="17" xfId="0" applyNumberFormat="1" applyFill="1" applyBorder="1" applyAlignment="1">
      <alignment horizontal="center" vertical="center"/>
    </xf>
    <xf numFmtId="183" fontId="0" fillId="0" borderId="14" xfId="0" applyNumberFormat="1" applyFill="1" applyBorder="1" applyAlignment="1">
      <alignment horizontal="center" vertical="center"/>
    </xf>
    <xf numFmtId="181" fontId="0" fillId="0" borderId="17" xfId="0" applyNumberFormat="1" applyFill="1" applyBorder="1" applyAlignment="1">
      <alignment horizontal="center" vertical="center"/>
    </xf>
    <xf numFmtId="180" fontId="6" fillId="4" borderId="16" xfId="0" applyNumberFormat="1" applyFont="1" applyFill="1" applyBorder="1" applyAlignment="1">
      <alignment horizontal="center" vertical="center"/>
    </xf>
    <xf numFmtId="180" fontId="0" fillId="4" borderId="18" xfId="0" applyNumberFormat="1" applyFill="1" applyBorder="1" applyAlignment="1">
      <alignment horizontal="center" vertical="center"/>
    </xf>
    <xf numFmtId="180" fontId="0" fillId="4" borderId="16" xfId="0" applyNumberFormat="1" applyFill="1" applyBorder="1" applyAlignment="1">
      <alignment horizontal="center" vertical="center"/>
    </xf>
    <xf numFmtId="183" fontId="0" fillId="4" borderId="14" xfId="0" applyNumberFormat="1" applyFill="1" applyBorder="1" applyAlignment="1">
      <alignment horizontal="center" vertical="center"/>
    </xf>
    <xf numFmtId="181" fontId="0" fillId="4" borderId="17" xfId="0" applyNumberFormat="1" applyFill="1" applyBorder="1" applyAlignment="1">
      <alignment horizontal="center" vertical="center"/>
    </xf>
    <xf numFmtId="180" fontId="6" fillId="3" borderId="9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1" fontId="0" fillId="3" borderId="27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179" fontId="0" fillId="3" borderId="8" xfId="0" applyNumberFormat="1" applyFill="1" applyBorder="1" applyAlignment="1">
      <alignment horizontal="center" vertical="center"/>
    </xf>
    <xf numFmtId="180" fontId="0" fillId="3" borderId="28" xfId="0" applyNumberFormat="1" applyFill="1" applyBorder="1" applyAlignment="1">
      <alignment horizontal="center" vertical="center"/>
    </xf>
    <xf numFmtId="180" fontId="0" fillId="3" borderId="9" xfId="0" applyNumberFormat="1" applyFill="1" applyBorder="1" applyAlignment="1">
      <alignment horizontal="center" vertical="center"/>
    </xf>
    <xf numFmtId="183" fontId="0" fillId="3" borderId="7" xfId="0" applyNumberFormat="1" applyFill="1" applyBorder="1" applyAlignment="1">
      <alignment horizontal="center" vertical="center"/>
    </xf>
    <xf numFmtId="180" fontId="0" fillId="0" borderId="23" xfId="0" applyNumberFormat="1" applyBorder="1" applyAlignment="1">
      <alignment horizontal="center" vertical="center"/>
    </xf>
    <xf numFmtId="183" fontId="0" fillId="0" borderId="32" xfId="0" applyNumberFormat="1" applyBorder="1" applyAlignment="1">
      <alignment horizontal="center" vertical="center"/>
    </xf>
    <xf numFmtId="180" fontId="6" fillId="0" borderId="23" xfId="0" applyNumberFormat="1" applyFont="1" applyBorder="1" applyAlignment="1">
      <alignment horizontal="center" vertical="center"/>
    </xf>
    <xf numFmtId="182" fontId="0" fillId="2" borderId="25" xfId="0" applyNumberFormat="1" applyFill="1" applyBorder="1" applyAlignment="1">
      <alignment horizontal="center" vertical="center"/>
    </xf>
    <xf numFmtId="178" fontId="0" fillId="2" borderId="24" xfId="0" applyNumberFormat="1" applyFill="1" applyBorder="1" applyAlignment="1">
      <alignment horizontal="center" vertical="center"/>
    </xf>
    <xf numFmtId="179" fontId="0" fillId="2" borderId="24" xfId="0" applyNumberFormat="1" applyFill="1" applyBorder="1" applyAlignment="1">
      <alignment horizontal="center" vertical="center"/>
    </xf>
    <xf numFmtId="183" fontId="0" fillId="2" borderId="24" xfId="0" applyNumberFormat="1" applyFill="1" applyBorder="1" applyAlignment="1">
      <alignment horizontal="center" vertical="center"/>
    </xf>
    <xf numFmtId="180" fontId="0" fillId="2" borderId="23" xfId="0" applyNumberFormat="1" applyFill="1" applyBorder="1" applyAlignment="1">
      <alignment horizontal="center" vertical="center"/>
    </xf>
    <xf numFmtId="183" fontId="6" fillId="0" borderId="32" xfId="0" applyNumberFormat="1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83" fontId="0" fillId="2" borderId="32" xfId="0" applyNumberFormat="1" applyFill="1" applyBorder="1" applyAlignment="1">
      <alignment horizontal="center" vertical="center"/>
    </xf>
    <xf numFmtId="183" fontId="0" fillId="3" borderId="24" xfId="0" applyNumberFormat="1" applyFill="1" applyBorder="1" applyAlignment="1">
      <alignment horizontal="center" vertical="center"/>
    </xf>
    <xf numFmtId="183" fontId="0" fillId="3" borderId="25" xfId="0" applyNumberFormat="1" applyFill="1" applyBorder="1" applyAlignment="1">
      <alignment horizontal="center" vertical="center"/>
    </xf>
    <xf numFmtId="183" fontId="0" fillId="3" borderId="23" xfId="0" applyNumberFormat="1" applyFill="1" applyBorder="1" applyAlignment="1">
      <alignment horizontal="center" vertical="center"/>
    </xf>
    <xf numFmtId="183" fontId="0" fillId="3" borderId="22" xfId="0" applyNumberFormat="1" applyFill="1" applyBorder="1" applyAlignment="1">
      <alignment horizontal="center" vertical="center"/>
    </xf>
    <xf numFmtId="183" fontId="0" fillId="3" borderId="0" xfId="0" applyNumberFormat="1" applyFill="1" applyAlignment="1">
      <alignment horizontal="center" vertical="center"/>
    </xf>
    <xf numFmtId="183" fontId="0" fillId="3" borderId="18" xfId="0" applyNumberFormat="1" applyFill="1" applyBorder="1" applyAlignment="1">
      <alignment horizontal="center" vertical="center"/>
    </xf>
    <xf numFmtId="183" fontId="0" fillId="3" borderId="17" xfId="0" applyNumberFormat="1" applyFill="1" applyBorder="1" applyAlignment="1">
      <alignment horizontal="center" vertical="center"/>
    </xf>
    <xf numFmtId="183" fontId="0" fillId="3" borderId="16" xfId="0" applyNumberFormat="1" applyFill="1" applyBorder="1" applyAlignment="1">
      <alignment horizontal="center" vertical="center"/>
    </xf>
    <xf numFmtId="183" fontId="0" fillId="0" borderId="0" xfId="0" applyNumberFormat="1" applyFill="1" applyAlignment="1">
      <alignment horizontal="center" vertical="center"/>
    </xf>
    <xf numFmtId="183" fontId="0" fillId="0" borderId="18" xfId="0" applyNumberFormat="1" applyFill="1" applyBorder="1" applyAlignment="1">
      <alignment horizontal="center" vertical="center"/>
    </xf>
    <xf numFmtId="183" fontId="0" fillId="0" borderId="17" xfId="0" applyNumberFormat="1" applyFill="1" applyBorder="1" applyAlignment="1">
      <alignment horizontal="center" vertical="center"/>
    </xf>
    <xf numFmtId="183" fontId="0" fillId="0" borderId="16" xfId="0" applyNumberFormat="1" applyFill="1" applyBorder="1" applyAlignment="1">
      <alignment horizontal="center" vertical="center"/>
    </xf>
    <xf numFmtId="183" fontId="0" fillId="4" borderId="0" xfId="0" applyNumberFormat="1" applyFill="1" applyAlignment="1">
      <alignment horizontal="center" vertical="center"/>
    </xf>
    <xf numFmtId="183" fontId="0" fillId="4" borderId="18" xfId="0" applyNumberFormat="1" applyFill="1" applyBorder="1" applyAlignment="1">
      <alignment horizontal="center" vertical="center"/>
    </xf>
    <xf numFmtId="183" fontId="0" fillId="4" borderId="17" xfId="0" applyNumberFormat="1" applyFill="1" applyBorder="1" applyAlignment="1">
      <alignment horizontal="center" vertical="center"/>
    </xf>
    <xf numFmtId="183" fontId="0" fillId="4" borderId="16" xfId="0" applyNumberFormat="1" applyFill="1" applyBorder="1" applyAlignment="1">
      <alignment horizontal="center" vertical="center"/>
    </xf>
    <xf numFmtId="183" fontId="0" fillId="3" borderId="8" xfId="0" applyNumberFormat="1" applyFill="1" applyBorder="1" applyAlignment="1">
      <alignment horizontal="center" vertical="center"/>
    </xf>
    <xf numFmtId="183" fontId="0" fillId="3" borderId="28" xfId="0" applyNumberFormat="1" applyFill="1" applyBorder="1" applyAlignment="1">
      <alignment horizontal="center" vertical="center"/>
    </xf>
    <xf numFmtId="183" fontId="0" fillId="3" borderId="27" xfId="0" applyNumberFormat="1" applyFill="1" applyBorder="1" applyAlignment="1">
      <alignment horizontal="center" vertical="center"/>
    </xf>
    <xf numFmtId="183" fontId="0" fillId="3" borderId="9" xfId="0" applyNumberFormat="1" applyFill="1" applyBorder="1" applyAlignment="1">
      <alignment horizontal="center" vertical="center"/>
    </xf>
    <xf numFmtId="181" fontId="0" fillId="3" borderId="23" xfId="0" applyNumberForma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183" fontId="0" fillId="0" borderId="2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9" fontId="0" fillId="0" borderId="24" xfId="0" applyNumberFormat="1" applyFill="1" applyBorder="1" applyAlignment="1">
      <alignment horizontal="center" vertical="center"/>
    </xf>
    <xf numFmtId="179" fontId="0" fillId="0" borderId="25" xfId="0" applyNumberFormat="1" applyFill="1" applyBorder="1" applyAlignment="1">
      <alignment horizontal="center" vertical="center"/>
    </xf>
    <xf numFmtId="182" fontId="0" fillId="0" borderId="23" xfId="0" applyNumberFormat="1" applyFill="1" applyBorder="1" applyAlignment="1">
      <alignment horizontal="center" vertical="center"/>
    </xf>
    <xf numFmtId="180" fontId="0" fillId="0" borderId="24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18" xfId="0" applyNumberFormat="1" applyFill="1" applyBorder="1" applyAlignment="1">
      <alignment horizontal="center" vertical="center"/>
    </xf>
    <xf numFmtId="182" fontId="0" fillId="0" borderId="17" xfId="0" applyNumberFormat="1" applyFill="1" applyBorder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3" fillId="3" borderId="18" xfId="0" applyFont="1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79" fontId="0" fillId="3" borderId="0" xfId="0" applyNumberFormat="1" applyFill="1" applyBorder="1" applyAlignment="1">
      <alignment horizontal="center" vertical="center"/>
    </xf>
    <xf numFmtId="182" fontId="0" fillId="3" borderId="17" xfId="0" applyNumberFormat="1" applyFill="1" applyBorder="1" applyAlignment="1">
      <alignment horizontal="center" vertical="center"/>
    </xf>
    <xf numFmtId="180" fontId="0" fillId="3" borderId="0" xfId="0" applyNumberFormat="1" applyFill="1" applyAlignment="1">
      <alignment horizontal="center" vertical="center"/>
    </xf>
    <xf numFmtId="0" fontId="3" fillId="4" borderId="18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79" fontId="0" fillId="4" borderId="0" xfId="0" applyNumberFormat="1" applyFill="1" applyBorder="1" applyAlignment="1">
      <alignment horizontal="center" vertical="center"/>
    </xf>
    <xf numFmtId="182" fontId="0" fillId="4" borderId="17" xfId="0" applyNumberFormat="1" applyFill="1" applyBorder="1" applyAlignment="1">
      <alignment horizontal="center" vertical="center"/>
    </xf>
    <xf numFmtId="180" fontId="0" fillId="4" borderId="0" xfId="0" applyNumberFormat="1" applyFill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179" fontId="0" fillId="0" borderId="29" xfId="0" applyNumberFormat="1" applyFill="1" applyBorder="1" applyAlignment="1">
      <alignment horizontal="center" vertical="center"/>
    </xf>
    <xf numFmtId="179" fontId="0" fillId="0" borderId="19" xfId="0" applyNumberFormat="1" applyFill="1" applyBorder="1" applyAlignment="1">
      <alignment horizontal="center" vertical="center"/>
    </xf>
    <xf numFmtId="182" fontId="0" fillId="0" borderId="32" xfId="0" applyNumberFormat="1" applyFill="1" applyBorder="1" applyAlignment="1">
      <alignment horizontal="center" vertical="center"/>
    </xf>
    <xf numFmtId="180" fontId="0" fillId="0" borderId="29" xfId="0" applyNumberForma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center" vertical="center"/>
    </xf>
    <xf numFmtId="0" fontId="3" fillId="3" borderId="19" xfId="0" applyFont="1" applyFill="1" applyBorder="1" applyAlignment="1">
      <alignment horizontal="left" vertical="center" wrapText="1"/>
    </xf>
    <xf numFmtId="0" fontId="4" fillId="3" borderId="31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79" fontId="0" fillId="3" borderId="29" xfId="0" applyNumberFormat="1" applyFill="1" applyBorder="1" applyAlignment="1">
      <alignment horizontal="center" vertical="center"/>
    </xf>
    <xf numFmtId="179" fontId="0" fillId="3" borderId="19" xfId="0" applyNumberFormat="1" applyFill="1" applyBorder="1" applyAlignment="1">
      <alignment horizontal="center" vertical="center"/>
    </xf>
    <xf numFmtId="182" fontId="0" fillId="3" borderId="32" xfId="0" applyNumberFormat="1" applyFill="1" applyBorder="1" applyAlignment="1">
      <alignment horizontal="center" vertical="center"/>
    </xf>
    <xf numFmtId="180" fontId="0" fillId="3" borderId="29" xfId="0" applyNumberFormat="1" applyFill="1" applyBorder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center" vertical="center" wrapText="1"/>
    </xf>
    <xf numFmtId="180" fontId="0" fillId="0" borderId="23" xfId="0" applyNumberFormat="1" applyFill="1" applyBorder="1" applyAlignment="1">
      <alignment horizontal="center" vertical="center"/>
    </xf>
    <xf numFmtId="180" fontId="0" fillId="0" borderId="17" xfId="0" applyNumberFormat="1" applyFill="1" applyBorder="1" applyAlignment="1">
      <alignment horizontal="center" vertical="center"/>
    </xf>
    <xf numFmtId="180" fontId="0" fillId="3" borderId="17" xfId="0" applyNumberFormat="1" applyFill="1" applyBorder="1" applyAlignment="1">
      <alignment horizontal="center" vertical="center"/>
    </xf>
    <xf numFmtId="180" fontId="0" fillId="4" borderId="17" xfId="0" applyNumberFormat="1" applyFill="1" applyBorder="1" applyAlignment="1">
      <alignment horizontal="center" vertical="center"/>
    </xf>
    <xf numFmtId="180" fontId="0" fillId="0" borderId="32" xfId="0" applyNumberFormat="1" applyFill="1" applyBorder="1" applyAlignment="1">
      <alignment horizontal="center" vertical="center"/>
    </xf>
    <xf numFmtId="180" fontId="0" fillId="3" borderId="3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zoomScale="70" zoomScaleNormal="70" topLeftCell="A14" workbookViewId="0">
      <selection activeCell="G43" sqref="G43"/>
    </sheetView>
  </sheetViews>
  <sheetFormatPr defaultColWidth="9" defaultRowHeight="14.4"/>
  <cols>
    <col min="1" max="1" width="26.537037037037" style="2" customWidth="1"/>
    <col min="2" max="2" width="10.5925925925926" style="1" customWidth="1"/>
    <col min="3" max="3" width="37.6388888888889" style="1" customWidth="1"/>
    <col min="4" max="9" width="10.7777777777778" style="1" customWidth="1"/>
    <col min="10" max="16384" width="9" style="1"/>
  </cols>
  <sheetData>
    <row r="1" ht="35" customHeight="1" spans="1:9">
      <c r="A1" s="189" t="s">
        <v>0</v>
      </c>
      <c r="B1" s="190"/>
      <c r="C1" s="190"/>
      <c r="D1" s="191" t="s">
        <v>1</v>
      </c>
      <c r="E1" s="191"/>
      <c r="F1" s="191"/>
      <c r="G1" s="191"/>
      <c r="H1" s="191"/>
      <c r="I1" s="191"/>
    </row>
    <row r="2" ht="45" customHeight="1" spans="1:9">
      <c r="A2" s="192"/>
      <c r="B2" s="193"/>
      <c r="C2" s="193"/>
      <c r="D2" s="103" t="s">
        <v>2</v>
      </c>
      <c r="E2" s="194" t="s">
        <v>3</v>
      </c>
      <c r="F2" s="195" t="s">
        <v>4</v>
      </c>
      <c r="G2" s="195" t="s">
        <v>5</v>
      </c>
      <c r="H2" s="195" t="s">
        <v>6</v>
      </c>
      <c r="I2" s="195" t="s">
        <v>7</v>
      </c>
    </row>
    <row r="3" ht="15" customHeight="1" spans="1:9">
      <c r="A3" s="196" t="s">
        <v>8</v>
      </c>
      <c r="B3" s="197" t="s">
        <v>9</v>
      </c>
      <c r="C3" s="198" t="s">
        <v>10</v>
      </c>
      <c r="D3" s="199">
        <v>1.34</v>
      </c>
      <c r="E3" s="200">
        <v>30</v>
      </c>
      <c r="F3" s="201">
        <f>D3*E3</f>
        <v>40.2</v>
      </c>
      <c r="G3" s="202">
        <f>F3*0.000621371</f>
        <v>0.0249791142</v>
      </c>
      <c r="H3" s="203"/>
      <c r="I3" s="240"/>
    </row>
    <row r="4" ht="15" customHeight="1" spans="1:9">
      <c r="A4" s="196"/>
      <c r="B4" s="24" t="s">
        <v>11</v>
      </c>
      <c r="C4" s="204"/>
      <c r="D4" s="205"/>
      <c r="E4" s="206"/>
      <c r="F4" s="207">
        <f t="shared" ref="F4:F38" si="0">D4*E4</f>
        <v>0</v>
      </c>
      <c r="G4" s="208">
        <f t="shared" ref="G4:G38" si="1">F4*0.000621371</f>
        <v>0</v>
      </c>
      <c r="H4" s="209">
        <v>0</v>
      </c>
      <c r="I4" s="241">
        <v>0</v>
      </c>
    </row>
    <row r="5" ht="15" customHeight="1" spans="1:9">
      <c r="A5" s="210" t="s">
        <v>12</v>
      </c>
      <c r="B5" s="33" t="s">
        <v>9</v>
      </c>
      <c r="C5" s="211"/>
      <c r="D5" s="212"/>
      <c r="E5" s="213">
        <v>12</v>
      </c>
      <c r="F5" s="39">
        <f t="shared" si="0"/>
        <v>0</v>
      </c>
      <c r="G5" s="214">
        <f t="shared" si="1"/>
        <v>0</v>
      </c>
      <c r="H5" s="215"/>
      <c r="I5" s="242"/>
    </row>
    <row r="6" ht="15" customHeight="1" spans="1:9">
      <c r="A6" s="210"/>
      <c r="B6" s="33" t="s">
        <v>11</v>
      </c>
      <c r="C6" s="211" t="s">
        <v>13</v>
      </c>
      <c r="D6" s="212">
        <v>2.54</v>
      </c>
      <c r="E6" s="213"/>
      <c r="F6" s="39">
        <f t="shared" si="0"/>
        <v>0</v>
      </c>
      <c r="G6" s="214">
        <f t="shared" si="1"/>
        <v>0</v>
      </c>
      <c r="H6" s="215">
        <v>100</v>
      </c>
      <c r="I6" s="242">
        <v>100</v>
      </c>
    </row>
    <row r="7" ht="15" customHeight="1" spans="1:9">
      <c r="A7" s="196" t="s">
        <v>14</v>
      </c>
      <c r="B7" s="24" t="s">
        <v>9</v>
      </c>
      <c r="C7" s="204" t="s">
        <v>15</v>
      </c>
      <c r="D7" s="205">
        <v>24.4</v>
      </c>
      <c r="E7" s="206">
        <v>30</v>
      </c>
      <c r="F7" s="207">
        <f t="shared" si="0"/>
        <v>732</v>
      </c>
      <c r="G7" s="208">
        <f t="shared" si="1"/>
        <v>0.454843572</v>
      </c>
      <c r="H7" s="209"/>
      <c r="I7" s="241"/>
    </row>
    <row r="8" ht="15" customHeight="1" spans="1:9">
      <c r="A8" s="196"/>
      <c r="B8" s="24" t="s">
        <v>11</v>
      </c>
      <c r="C8" s="204" t="s">
        <v>16</v>
      </c>
      <c r="D8" s="205">
        <v>5.1</v>
      </c>
      <c r="E8" s="206"/>
      <c r="F8" s="207">
        <f t="shared" si="0"/>
        <v>0</v>
      </c>
      <c r="G8" s="208">
        <f t="shared" si="1"/>
        <v>0</v>
      </c>
      <c r="H8" s="209">
        <v>502</v>
      </c>
      <c r="I8" s="241">
        <v>602</v>
      </c>
    </row>
    <row r="9" ht="15" customHeight="1" spans="1:9">
      <c r="A9" s="210" t="s">
        <v>17</v>
      </c>
      <c r="B9" s="33" t="s">
        <v>9</v>
      </c>
      <c r="C9" s="211" t="s">
        <v>18</v>
      </c>
      <c r="D9" s="212">
        <v>48.8</v>
      </c>
      <c r="E9" s="213">
        <v>18</v>
      </c>
      <c r="F9" s="39">
        <f t="shared" si="0"/>
        <v>878.4</v>
      </c>
      <c r="G9" s="214">
        <f t="shared" si="1"/>
        <v>0.5458122864</v>
      </c>
      <c r="H9" s="215"/>
      <c r="I9" s="242"/>
    </row>
    <row r="10" ht="15" customHeight="1" spans="1:9">
      <c r="A10" s="210"/>
      <c r="B10" s="33" t="s">
        <v>11</v>
      </c>
      <c r="C10" s="211"/>
      <c r="D10" s="212"/>
      <c r="E10" s="213"/>
      <c r="F10" s="39">
        <f t="shared" si="0"/>
        <v>0</v>
      </c>
      <c r="G10" s="214">
        <f t="shared" si="1"/>
        <v>0</v>
      </c>
      <c r="H10" s="215"/>
      <c r="I10" s="242"/>
    </row>
    <row r="11" ht="15" customHeight="1" spans="1:9">
      <c r="A11" s="196" t="s">
        <v>19</v>
      </c>
      <c r="B11" s="24" t="s">
        <v>9</v>
      </c>
      <c r="C11" s="204" t="s">
        <v>20</v>
      </c>
      <c r="D11" s="205">
        <v>58</v>
      </c>
      <c r="E11" s="206">
        <v>143</v>
      </c>
      <c r="F11" s="207">
        <f t="shared" si="0"/>
        <v>8294</v>
      </c>
      <c r="G11" s="208">
        <f t="shared" si="1"/>
        <v>5.153651074</v>
      </c>
      <c r="H11" s="209"/>
      <c r="I11" s="241"/>
    </row>
    <row r="12" ht="15" customHeight="1" spans="1:9">
      <c r="A12" s="196"/>
      <c r="B12" s="24" t="s">
        <v>11</v>
      </c>
      <c r="C12" s="204" t="s">
        <v>21</v>
      </c>
      <c r="D12" s="205">
        <v>5.1</v>
      </c>
      <c r="E12" s="206"/>
      <c r="F12" s="207">
        <f t="shared" si="0"/>
        <v>0</v>
      </c>
      <c r="G12" s="208">
        <f t="shared" si="1"/>
        <v>0</v>
      </c>
      <c r="H12" s="209">
        <v>2392.7</v>
      </c>
      <c r="I12" s="241">
        <v>2994.7</v>
      </c>
    </row>
    <row r="13" ht="15" customHeight="1" spans="1:9">
      <c r="A13" s="216" t="s">
        <v>22</v>
      </c>
      <c r="B13" s="43" t="s">
        <v>9</v>
      </c>
      <c r="C13" s="217" t="s">
        <v>23</v>
      </c>
      <c r="D13" s="218">
        <v>67.1</v>
      </c>
      <c r="E13" s="219">
        <v>664</v>
      </c>
      <c r="F13" s="49">
        <f t="shared" si="0"/>
        <v>44554.4</v>
      </c>
      <c r="G13" s="220">
        <f t="shared" si="1"/>
        <v>27.6848120824</v>
      </c>
      <c r="H13" s="221"/>
      <c r="I13" s="243"/>
    </row>
    <row r="14" ht="15" customHeight="1" spans="1:9">
      <c r="A14" s="216"/>
      <c r="B14" s="43" t="s">
        <v>11</v>
      </c>
      <c r="C14" s="217"/>
      <c r="D14" s="218"/>
      <c r="E14" s="219"/>
      <c r="F14" s="49">
        <f t="shared" si="0"/>
        <v>0</v>
      </c>
      <c r="G14" s="220">
        <f t="shared" si="1"/>
        <v>0</v>
      </c>
      <c r="H14" s="221">
        <v>0</v>
      </c>
      <c r="I14" s="243">
        <v>2994.7</v>
      </c>
    </row>
    <row r="15" ht="15" customHeight="1" spans="1:9">
      <c r="A15" s="196" t="s">
        <v>24</v>
      </c>
      <c r="B15" s="24" t="s">
        <v>9</v>
      </c>
      <c r="C15" s="204" t="s">
        <v>25</v>
      </c>
      <c r="D15" s="205">
        <v>58</v>
      </c>
      <c r="E15" s="206">
        <v>143</v>
      </c>
      <c r="F15" s="207">
        <f t="shared" si="0"/>
        <v>8294</v>
      </c>
      <c r="G15" s="208">
        <f t="shared" si="1"/>
        <v>5.153651074</v>
      </c>
      <c r="H15" s="209"/>
      <c r="I15" s="241"/>
    </row>
    <row r="16" ht="15" customHeight="1" spans="1:9">
      <c r="A16" s="196"/>
      <c r="B16" s="24" t="s">
        <v>11</v>
      </c>
      <c r="C16" s="204" t="s">
        <v>26</v>
      </c>
      <c r="D16" s="205">
        <v>5.1</v>
      </c>
      <c r="E16" s="206"/>
      <c r="F16" s="207">
        <f t="shared" si="0"/>
        <v>0</v>
      </c>
      <c r="G16" s="208">
        <f t="shared" si="1"/>
        <v>0</v>
      </c>
      <c r="H16" s="209" t="s">
        <v>27</v>
      </c>
      <c r="I16" s="241">
        <v>602</v>
      </c>
    </row>
    <row r="17" ht="15" customHeight="1" spans="1:9">
      <c r="A17" s="210" t="s">
        <v>28</v>
      </c>
      <c r="B17" s="33" t="s">
        <v>9</v>
      </c>
      <c r="C17" s="211" t="s">
        <v>29</v>
      </c>
      <c r="D17" s="212">
        <v>48.8</v>
      </c>
      <c r="E17" s="213">
        <v>18</v>
      </c>
      <c r="F17" s="39">
        <f t="shared" si="0"/>
        <v>878.4</v>
      </c>
      <c r="G17" s="214">
        <f t="shared" si="1"/>
        <v>0.5458122864</v>
      </c>
      <c r="H17" s="215"/>
      <c r="I17" s="242"/>
    </row>
    <row r="18" ht="15" customHeight="1" spans="1:9">
      <c r="A18" s="210"/>
      <c r="B18" s="33" t="s">
        <v>11</v>
      </c>
      <c r="C18" s="211"/>
      <c r="D18" s="212"/>
      <c r="E18" s="213"/>
      <c r="F18" s="39">
        <f t="shared" si="0"/>
        <v>0</v>
      </c>
      <c r="G18" s="214">
        <f t="shared" si="1"/>
        <v>0</v>
      </c>
      <c r="H18" s="215"/>
      <c r="I18" s="242"/>
    </row>
    <row r="19" ht="15" customHeight="1" spans="1:9">
      <c r="A19" s="196" t="s">
        <v>30</v>
      </c>
      <c r="B19" s="24" t="s">
        <v>9</v>
      </c>
      <c r="C19" s="204" t="s">
        <v>31</v>
      </c>
      <c r="D19" s="205">
        <v>24.4</v>
      </c>
      <c r="E19" s="206">
        <v>30</v>
      </c>
      <c r="F19" s="207">
        <f t="shared" si="0"/>
        <v>732</v>
      </c>
      <c r="G19" s="208">
        <f t="shared" si="1"/>
        <v>0.454843572</v>
      </c>
      <c r="H19" s="209"/>
      <c r="I19" s="241"/>
    </row>
    <row r="20" ht="15" customHeight="1" spans="1:9">
      <c r="A20" s="196"/>
      <c r="B20" s="24" t="s">
        <v>11</v>
      </c>
      <c r="C20" s="204" t="s">
        <v>32</v>
      </c>
      <c r="D20" s="205">
        <v>5.1</v>
      </c>
      <c r="E20" s="206"/>
      <c r="F20" s="207">
        <f t="shared" si="0"/>
        <v>0</v>
      </c>
      <c r="G20" s="208">
        <f t="shared" si="1"/>
        <v>0</v>
      </c>
      <c r="H20" s="209" t="s">
        <v>33</v>
      </c>
      <c r="I20" s="241">
        <v>100</v>
      </c>
    </row>
    <row r="21" ht="15" customHeight="1" spans="1:9">
      <c r="A21" s="210" t="s">
        <v>34</v>
      </c>
      <c r="B21" s="33" t="s">
        <v>9</v>
      </c>
      <c r="C21" s="211"/>
      <c r="D21" s="212"/>
      <c r="E21" s="213">
        <v>12</v>
      </c>
      <c r="F21" s="39">
        <f t="shared" si="0"/>
        <v>0</v>
      </c>
      <c r="G21" s="214">
        <f t="shared" si="1"/>
        <v>0</v>
      </c>
      <c r="H21" s="215"/>
      <c r="I21" s="242"/>
    </row>
    <row r="22" ht="15" customHeight="1" spans="1:9">
      <c r="A22" s="210"/>
      <c r="B22" s="33" t="s">
        <v>11</v>
      </c>
      <c r="C22" s="211" t="s">
        <v>35</v>
      </c>
      <c r="D22" s="212">
        <v>2.54</v>
      </c>
      <c r="E22" s="213"/>
      <c r="F22" s="39">
        <f t="shared" si="0"/>
        <v>0</v>
      </c>
      <c r="G22" s="214">
        <f t="shared" si="1"/>
        <v>0</v>
      </c>
      <c r="H22" s="215" t="s">
        <v>36</v>
      </c>
      <c r="I22" s="242">
        <v>0</v>
      </c>
    </row>
    <row r="23" ht="15" customHeight="1" spans="1:9">
      <c r="A23" s="196" t="s">
        <v>37</v>
      </c>
      <c r="B23" s="24" t="s">
        <v>9</v>
      </c>
      <c r="C23" s="204" t="s">
        <v>38</v>
      </c>
      <c r="D23" s="205">
        <v>1.34</v>
      </c>
      <c r="E23" s="206">
        <v>30</v>
      </c>
      <c r="F23" s="207">
        <f t="shared" si="0"/>
        <v>40.2</v>
      </c>
      <c r="G23" s="208">
        <f t="shared" si="1"/>
        <v>0.0249791142</v>
      </c>
      <c r="H23" s="209"/>
      <c r="I23" s="241"/>
    </row>
    <row r="24" ht="15" customHeight="1" spans="1:9">
      <c r="A24" s="196"/>
      <c r="B24" s="24" t="s">
        <v>11</v>
      </c>
      <c r="C24" s="204"/>
      <c r="D24" s="222"/>
      <c r="E24" s="223"/>
      <c r="F24" s="224">
        <f t="shared" si="0"/>
        <v>0</v>
      </c>
      <c r="G24" s="225">
        <f t="shared" si="1"/>
        <v>0</v>
      </c>
      <c r="H24" s="226">
        <v>0</v>
      </c>
      <c r="I24" s="244">
        <v>0</v>
      </c>
    </row>
    <row r="25" ht="15" customHeight="1" spans="1:9">
      <c r="A25" s="227" t="s">
        <v>39</v>
      </c>
      <c r="B25" s="53" t="s">
        <v>9</v>
      </c>
      <c r="C25" s="228"/>
      <c r="D25" s="212"/>
      <c r="E25" s="213">
        <v>12</v>
      </c>
      <c r="F25" s="39">
        <f t="shared" si="0"/>
        <v>0</v>
      </c>
      <c r="G25" s="214">
        <f t="shared" si="1"/>
        <v>0</v>
      </c>
      <c r="H25" s="215"/>
      <c r="I25" s="242"/>
    </row>
    <row r="26" ht="15" customHeight="1" spans="1:9">
      <c r="A26" s="210"/>
      <c r="B26" s="33" t="s">
        <v>11</v>
      </c>
      <c r="C26" s="211" t="s">
        <v>40</v>
      </c>
      <c r="D26" s="212">
        <v>2.54</v>
      </c>
      <c r="E26" s="213"/>
      <c r="F26" s="39">
        <f t="shared" si="0"/>
        <v>0</v>
      </c>
      <c r="G26" s="214">
        <f t="shared" si="1"/>
        <v>0</v>
      </c>
      <c r="H26" s="215">
        <v>100</v>
      </c>
      <c r="I26" s="242">
        <v>100</v>
      </c>
    </row>
    <row r="27" ht="15" customHeight="1" spans="1:9">
      <c r="A27" s="196" t="s">
        <v>41</v>
      </c>
      <c r="B27" s="24" t="s">
        <v>9</v>
      </c>
      <c r="C27" s="204" t="s">
        <v>42</v>
      </c>
      <c r="D27" s="205">
        <v>24.4</v>
      </c>
      <c r="E27" s="206">
        <v>30</v>
      </c>
      <c r="F27" s="207">
        <f t="shared" si="0"/>
        <v>732</v>
      </c>
      <c r="G27" s="208">
        <f t="shared" si="1"/>
        <v>0.454843572</v>
      </c>
      <c r="H27" s="209"/>
      <c r="I27" s="241"/>
    </row>
    <row r="28" ht="15" customHeight="1" spans="1:9">
      <c r="A28" s="196"/>
      <c r="B28" s="24" t="s">
        <v>11</v>
      </c>
      <c r="C28" s="204" t="s">
        <v>43</v>
      </c>
      <c r="D28" s="205">
        <v>5.1</v>
      </c>
      <c r="E28" s="206"/>
      <c r="F28" s="207">
        <f t="shared" si="0"/>
        <v>0</v>
      </c>
      <c r="G28" s="208">
        <f t="shared" si="1"/>
        <v>0</v>
      </c>
      <c r="H28" s="209">
        <v>502</v>
      </c>
      <c r="I28" s="241">
        <v>602</v>
      </c>
    </row>
    <row r="29" ht="15" customHeight="1" spans="1:9">
      <c r="A29" s="210" t="s">
        <v>44</v>
      </c>
      <c r="B29" s="33" t="s">
        <v>9</v>
      </c>
      <c r="C29" s="211" t="s">
        <v>45</v>
      </c>
      <c r="D29" s="212">
        <v>58</v>
      </c>
      <c r="E29" s="213">
        <v>24</v>
      </c>
      <c r="F29" s="39">
        <f t="shared" si="0"/>
        <v>1392</v>
      </c>
      <c r="G29" s="214">
        <f t="shared" si="1"/>
        <v>0.864948432</v>
      </c>
      <c r="H29" s="215"/>
      <c r="I29" s="242"/>
    </row>
    <row r="30" ht="15" customHeight="1" spans="1:9">
      <c r="A30" s="210"/>
      <c r="B30" s="33" t="s">
        <v>11</v>
      </c>
      <c r="C30" s="211" t="s">
        <v>46</v>
      </c>
      <c r="D30" s="212">
        <v>5.1</v>
      </c>
      <c r="E30" s="213"/>
      <c r="F30" s="39">
        <f t="shared" si="0"/>
        <v>0</v>
      </c>
      <c r="G30" s="214">
        <f t="shared" si="1"/>
        <v>0</v>
      </c>
      <c r="H30" s="215">
        <v>401.6</v>
      </c>
      <c r="I30" s="242">
        <v>1003.6</v>
      </c>
    </row>
    <row r="31" ht="15" customHeight="1" spans="1:9">
      <c r="A31" s="216" t="s">
        <v>47</v>
      </c>
      <c r="B31" s="43" t="s">
        <v>9</v>
      </c>
      <c r="C31" s="217" t="s">
        <v>48</v>
      </c>
      <c r="D31" s="218">
        <v>67.1</v>
      </c>
      <c r="E31" s="219">
        <v>54</v>
      </c>
      <c r="F31" s="49">
        <f t="shared" si="0"/>
        <v>3623.4</v>
      </c>
      <c r="G31" s="220">
        <f t="shared" si="1"/>
        <v>2.2514756814</v>
      </c>
      <c r="H31" s="221"/>
      <c r="I31" s="243"/>
    </row>
    <row r="32" ht="15" customHeight="1" spans="1:9">
      <c r="A32" s="216"/>
      <c r="B32" s="43" t="s">
        <v>11</v>
      </c>
      <c r="C32" s="217"/>
      <c r="D32" s="218"/>
      <c r="E32" s="219"/>
      <c r="F32" s="49">
        <f t="shared" si="0"/>
        <v>0</v>
      </c>
      <c r="G32" s="220">
        <f t="shared" si="1"/>
        <v>0</v>
      </c>
      <c r="H32" s="221">
        <v>0</v>
      </c>
      <c r="I32" s="243">
        <v>1003.6</v>
      </c>
    </row>
    <row r="33" ht="15" customHeight="1" spans="1:9">
      <c r="A33" s="210" t="s">
        <v>49</v>
      </c>
      <c r="B33" s="33" t="s">
        <v>9</v>
      </c>
      <c r="C33" s="211" t="s">
        <v>50</v>
      </c>
      <c r="D33" s="212">
        <v>58</v>
      </c>
      <c r="E33" s="213">
        <v>24</v>
      </c>
      <c r="F33" s="39">
        <f t="shared" si="0"/>
        <v>1392</v>
      </c>
      <c r="G33" s="214">
        <f t="shared" si="1"/>
        <v>0.864948432</v>
      </c>
      <c r="H33" s="215"/>
      <c r="I33" s="242"/>
    </row>
    <row r="34" ht="15" customHeight="1" spans="1:9">
      <c r="A34" s="210"/>
      <c r="B34" s="33" t="s">
        <v>11</v>
      </c>
      <c r="C34" s="211" t="s">
        <v>51</v>
      </c>
      <c r="D34" s="212">
        <v>5.1</v>
      </c>
      <c r="E34" s="213"/>
      <c r="F34" s="39">
        <f t="shared" si="0"/>
        <v>0</v>
      </c>
      <c r="G34" s="214">
        <f t="shared" si="1"/>
        <v>0</v>
      </c>
      <c r="H34" s="215" t="s">
        <v>52</v>
      </c>
      <c r="I34" s="242">
        <v>602</v>
      </c>
    </row>
    <row r="35" ht="15" customHeight="1" spans="1:9">
      <c r="A35" s="196" t="s">
        <v>53</v>
      </c>
      <c r="B35" s="24" t="s">
        <v>9</v>
      </c>
      <c r="C35" s="204" t="s">
        <v>54</v>
      </c>
      <c r="D35" s="205">
        <v>24.4</v>
      </c>
      <c r="E35" s="206">
        <v>30</v>
      </c>
      <c r="F35" s="207">
        <f t="shared" si="0"/>
        <v>732</v>
      </c>
      <c r="G35" s="208">
        <f t="shared" si="1"/>
        <v>0.454843572</v>
      </c>
      <c r="H35" s="209"/>
      <c r="I35" s="241"/>
    </row>
    <row r="36" ht="15" customHeight="1" spans="1:9">
      <c r="A36" s="196"/>
      <c r="B36" s="24" t="s">
        <v>11</v>
      </c>
      <c r="C36" s="204" t="s">
        <v>55</v>
      </c>
      <c r="D36" s="205">
        <v>5.1</v>
      </c>
      <c r="E36" s="206"/>
      <c r="F36" s="207">
        <f t="shared" si="0"/>
        <v>0</v>
      </c>
      <c r="G36" s="208">
        <f t="shared" si="1"/>
        <v>0</v>
      </c>
      <c r="H36" s="209" t="s">
        <v>33</v>
      </c>
      <c r="I36" s="241">
        <v>100</v>
      </c>
    </row>
    <row r="37" ht="15" customHeight="1" spans="1:9">
      <c r="A37" s="210" t="s">
        <v>56</v>
      </c>
      <c r="B37" s="33" t="s">
        <v>9</v>
      </c>
      <c r="C37" s="211"/>
      <c r="D37" s="212"/>
      <c r="E37" s="213">
        <v>12</v>
      </c>
      <c r="F37" s="39">
        <f t="shared" si="0"/>
        <v>0</v>
      </c>
      <c r="G37" s="214">
        <f t="shared" si="1"/>
        <v>0</v>
      </c>
      <c r="H37" s="215"/>
      <c r="I37" s="242"/>
    </row>
    <row r="38" ht="15" customHeight="1" spans="1:9">
      <c r="A38" s="229"/>
      <c r="B38" s="230" t="s">
        <v>11</v>
      </c>
      <c r="C38" s="231" t="s">
        <v>57</v>
      </c>
      <c r="D38" s="232">
        <v>2.54</v>
      </c>
      <c r="E38" s="233"/>
      <c r="F38" s="234">
        <f t="shared" si="0"/>
        <v>0</v>
      </c>
      <c r="G38" s="235">
        <f t="shared" si="1"/>
        <v>0</v>
      </c>
      <c r="H38" s="236" t="s">
        <v>36</v>
      </c>
      <c r="I38" s="245">
        <v>0</v>
      </c>
    </row>
    <row r="39" spans="7:7">
      <c r="G39" s="237"/>
    </row>
    <row r="40" ht="30" customHeight="1" spans="4:7">
      <c r="D40" s="190" t="s">
        <v>58</v>
      </c>
      <c r="E40" s="238">
        <f>SUM(E3:E38)</f>
        <v>1316</v>
      </c>
      <c r="F40" s="190" t="s">
        <v>59</v>
      </c>
      <c r="G40" s="239">
        <f>SUM(G3:G38)</f>
        <v>44.934443865</v>
      </c>
    </row>
    <row r="42" spans="7:7">
      <c r="G42" s="237">
        <f>SUM(G27,G29,G31,G33,G35)</f>
        <v>4.8910596894</v>
      </c>
    </row>
  </sheetData>
  <mergeCells count="20">
    <mergeCell ref="D1:I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1:C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zoomScale="70" zoomScaleNormal="70" workbookViewId="0">
      <selection activeCell="D7" sqref="D7"/>
    </sheetView>
  </sheetViews>
  <sheetFormatPr defaultColWidth="9" defaultRowHeight="14.4"/>
  <cols>
    <col min="1" max="1" width="26.537037037037" style="2" customWidth="1"/>
    <col min="2" max="2" width="10.5925925925926" style="1" customWidth="1"/>
    <col min="3" max="3" width="37.6388888888889" style="1" customWidth="1"/>
    <col min="4" max="21" width="10.7777777777778" style="1" customWidth="1"/>
    <col min="22" max="16384" width="9" style="1"/>
  </cols>
  <sheetData>
    <row r="1" spans="1:6">
      <c r="A1" s="3" t="s">
        <v>60</v>
      </c>
      <c r="B1" s="4">
        <v>40.6</v>
      </c>
      <c r="E1" s="5" t="s">
        <v>61</v>
      </c>
      <c r="F1" s="6" t="s">
        <v>62</v>
      </c>
    </row>
    <row r="2" spans="1:6">
      <c r="A2" s="3" t="s">
        <v>7</v>
      </c>
      <c r="B2" s="7">
        <v>1500</v>
      </c>
      <c r="C2" s="1" t="s">
        <v>63</v>
      </c>
      <c r="F2" s="6" t="s">
        <v>64</v>
      </c>
    </row>
    <row r="3" spans="1:6">
      <c r="A3" s="3" t="s">
        <v>65</v>
      </c>
      <c r="B3" s="8">
        <v>500</v>
      </c>
      <c r="C3" s="1" t="s">
        <v>66</v>
      </c>
      <c r="F3" s="6" t="s">
        <v>67</v>
      </c>
    </row>
    <row r="4" spans="1:6">
      <c r="A4" s="3" t="s">
        <v>68</v>
      </c>
      <c r="B4" s="8">
        <v>6</v>
      </c>
      <c r="C4" s="1" t="s">
        <v>66</v>
      </c>
      <c r="F4" s="6" t="s">
        <v>69</v>
      </c>
    </row>
    <row r="5" spans="1:6">
      <c r="A5" s="3" t="s">
        <v>70</v>
      </c>
      <c r="B5" s="4">
        <v>30</v>
      </c>
      <c r="F5" s="9" t="s">
        <v>71</v>
      </c>
    </row>
    <row r="6" spans="1:6">
      <c r="A6" s="3" t="s">
        <v>72</v>
      </c>
      <c r="B6" s="4">
        <v>45</v>
      </c>
      <c r="F6" s="6" t="s">
        <v>73</v>
      </c>
    </row>
    <row r="7" spans="1:6">
      <c r="A7" s="3" t="s">
        <v>74</v>
      </c>
      <c r="B7" s="4">
        <v>60</v>
      </c>
      <c r="F7" s="6" t="s">
        <v>75</v>
      </c>
    </row>
    <row r="8" spans="6:6">
      <c r="F8" s="6" t="s">
        <v>76</v>
      </c>
    </row>
    <row r="9" ht="15.15"/>
    <row r="10" ht="35" customHeight="1" spans="1:21">
      <c r="A10" s="10" t="s">
        <v>0</v>
      </c>
      <c r="B10" s="11"/>
      <c r="C10" s="12"/>
      <c r="D10" s="13" t="s">
        <v>77</v>
      </c>
      <c r="E10" s="14"/>
      <c r="F10" s="14"/>
      <c r="G10" s="14"/>
      <c r="H10" s="14"/>
      <c r="I10" s="116"/>
      <c r="J10" s="13" t="s">
        <v>78</v>
      </c>
      <c r="K10" s="14"/>
      <c r="L10" s="14"/>
      <c r="M10" s="14"/>
      <c r="N10" s="14"/>
      <c r="O10" s="116"/>
      <c r="P10" s="13" t="s">
        <v>79</v>
      </c>
      <c r="Q10" s="14"/>
      <c r="R10" s="14"/>
      <c r="S10" s="14"/>
      <c r="T10" s="14"/>
      <c r="U10" s="116"/>
    </row>
    <row r="11" ht="45" customHeight="1" spans="1:21">
      <c r="A11" s="15"/>
      <c r="B11" s="16"/>
      <c r="C11" s="17"/>
      <c r="D11" s="18" t="s">
        <v>2</v>
      </c>
      <c r="E11" s="19" t="s">
        <v>3</v>
      </c>
      <c r="F11" s="20" t="s">
        <v>4</v>
      </c>
      <c r="G11" s="21" t="s">
        <v>5</v>
      </c>
      <c r="H11" s="22" t="s">
        <v>6</v>
      </c>
      <c r="I11" s="117" t="s">
        <v>7</v>
      </c>
      <c r="J11" s="18" t="s">
        <v>2</v>
      </c>
      <c r="K11" s="19" t="s">
        <v>3</v>
      </c>
      <c r="L11" s="22" t="s">
        <v>4</v>
      </c>
      <c r="M11" s="22" t="s">
        <v>5</v>
      </c>
      <c r="N11" s="22" t="s">
        <v>6</v>
      </c>
      <c r="O11" s="117" t="s">
        <v>7</v>
      </c>
      <c r="P11" s="18" t="s">
        <v>2</v>
      </c>
      <c r="Q11" s="19" t="s">
        <v>3</v>
      </c>
      <c r="R11" s="22" t="s">
        <v>4</v>
      </c>
      <c r="S11" s="22" t="s">
        <v>5</v>
      </c>
      <c r="T11" s="22" t="s">
        <v>6</v>
      </c>
      <c r="U11" s="117" t="s">
        <v>7</v>
      </c>
    </row>
    <row r="12" ht="15" customHeight="1" spans="1:21">
      <c r="A12" s="23" t="s">
        <v>8</v>
      </c>
      <c r="B12" s="24" t="s">
        <v>9</v>
      </c>
      <c r="C12" s="25" t="s">
        <v>10</v>
      </c>
      <c r="D12" s="26">
        <v>1.34</v>
      </c>
      <c r="E12" s="27">
        <v>30</v>
      </c>
      <c r="F12" s="28">
        <f>D12*E12</f>
        <v>40.2</v>
      </c>
      <c r="G12" s="29">
        <f>F12*0.000621371</f>
        <v>0.0249791142</v>
      </c>
      <c r="H12" s="30"/>
      <c r="I12" s="118"/>
      <c r="J12" s="26">
        <v>1.34</v>
      </c>
      <c r="K12" s="27">
        <v>30</v>
      </c>
      <c r="L12" s="28">
        <f>J12*K12</f>
        <v>40.2</v>
      </c>
      <c r="M12" s="29">
        <f>L12*0.000621371</f>
        <v>0.0249791142</v>
      </c>
      <c r="N12" s="30"/>
      <c r="O12" s="118"/>
      <c r="P12" s="26">
        <v>1.34</v>
      </c>
      <c r="Q12" s="27">
        <v>30</v>
      </c>
      <c r="R12" s="28">
        <f>P12*Q12</f>
        <v>40.2</v>
      </c>
      <c r="S12" s="29">
        <f>R12*0.000621371</f>
        <v>0.0249791142</v>
      </c>
      <c r="T12" s="30"/>
      <c r="U12" s="118"/>
    </row>
    <row r="13" ht="15" customHeight="1" spans="1:21">
      <c r="A13" s="23"/>
      <c r="B13" s="24" t="s">
        <v>11</v>
      </c>
      <c r="C13" s="25"/>
      <c r="D13" s="26"/>
      <c r="E13" s="31"/>
      <c r="F13" s="28"/>
      <c r="G13" s="29"/>
      <c r="H13" s="30"/>
      <c r="I13" s="118"/>
      <c r="J13" s="26"/>
      <c r="K13" s="31"/>
      <c r="L13" s="28"/>
      <c r="M13" s="29"/>
      <c r="N13" s="30"/>
      <c r="O13" s="118"/>
      <c r="P13" s="26"/>
      <c r="Q13" s="31"/>
      <c r="R13" s="28"/>
      <c r="S13" s="29"/>
      <c r="T13" s="30"/>
      <c r="U13" s="118"/>
    </row>
    <row r="14" ht="15" customHeight="1" spans="1:21">
      <c r="A14" s="32" t="s">
        <v>12</v>
      </c>
      <c r="B14" s="33" t="s">
        <v>9</v>
      </c>
      <c r="C14" s="34"/>
      <c r="D14" s="35"/>
      <c r="E14" s="36">
        <v>6</v>
      </c>
      <c r="F14" s="37"/>
      <c r="G14" s="38"/>
      <c r="H14" s="39"/>
      <c r="I14" s="119"/>
      <c r="J14" s="35"/>
      <c r="K14" s="36">
        <v>6</v>
      </c>
      <c r="L14" s="37"/>
      <c r="M14" s="38"/>
      <c r="N14" s="39"/>
      <c r="O14" s="119"/>
      <c r="P14" s="35"/>
      <c r="Q14" s="36">
        <v>6</v>
      </c>
      <c r="R14" s="37"/>
      <c r="S14" s="38"/>
      <c r="T14" s="39"/>
      <c r="U14" s="119"/>
    </row>
    <row r="15" ht="15" customHeight="1" spans="1:21">
      <c r="A15" s="32"/>
      <c r="B15" s="33" t="s">
        <v>11</v>
      </c>
      <c r="C15" s="34" t="s">
        <v>13</v>
      </c>
      <c r="D15" s="35">
        <v>2.54</v>
      </c>
      <c r="E15" s="40"/>
      <c r="F15" s="37"/>
      <c r="G15" s="38"/>
      <c r="H15" s="39">
        <f>D15*E14*3.28084</f>
        <v>50.0000016</v>
      </c>
      <c r="I15" s="119">
        <f>H15</f>
        <v>50.0000016</v>
      </c>
      <c r="J15" s="35">
        <v>2.54</v>
      </c>
      <c r="K15" s="40"/>
      <c r="L15" s="37"/>
      <c r="M15" s="38"/>
      <c r="N15" s="39">
        <f>J15*K14*3.28084</f>
        <v>50.0000016</v>
      </c>
      <c r="O15" s="119">
        <f>N15</f>
        <v>50.0000016</v>
      </c>
      <c r="P15" s="35">
        <v>2.54</v>
      </c>
      <c r="Q15" s="40"/>
      <c r="R15" s="37"/>
      <c r="S15" s="38"/>
      <c r="T15" s="39">
        <f>P15*Q14*3.28084</f>
        <v>50.0000016</v>
      </c>
      <c r="U15" s="119">
        <f>T15</f>
        <v>50.0000016</v>
      </c>
    </row>
    <row r="16" ht="15" customHeight="1" spans="1:21">
      <c r="A16" s="23" t="s">
        <v>14</v>
      </c>
      <c r="B16" s="24" t="s">
        <v>9</v>
      </c>
      <c r="C16" s="25" t="s">
        <v>15</v>
      </c>
      <c r="D16" s="26">
        <v>24.4</v>
      </c>
      <c r="E16" s="31">
        <v>15</v>
      </c>
      <c r="F16" s="28">
        <f>D16*E16</f>
        <v>366</v>
      </c>
      <c r="G16" s="29">
        <f>F16*0.000621371</f>
        <v>0.227421786</v>
      </c>
      <c r="H16" s="30"/>
      <c r="I16" s="118"/>
      <c r="J16" s="26">
        <v>24.4</v>
      </c>
      <c r="K16" s="31">
        <v>15</v>
      </c>
      <c r="L16" s="28">
        <f t="shared" ref="L16:L20" si="0">J16*K16</f>
        <v>366</v>
      </c>
      <c r="M16" s="29">
        <f t="shared" ref="M16:M20" si="1">L16*0.000621371</f>
        <v>0.227421786</v>
      </c>
      <c r="N16" s="30"/>
      <c r="O16" s="118"/>
      <c r="P16" s="26">
        <v>24.4</v>
      </c>
      <c r="Q16" s="31">
        <v>15</v>
      </c>
      <c r="R16" s="28">
        <f t="shared" ref="R16:R20" si="2">P16*Q16</f>
        <v>366</v>
      </c>
      <c r="S16" s="29">
        <f t="shared" ref="S16:S20" si="3">R16*0.000621371</f>
        <v>0.227421786</v>
      </c>
      <c r="T16" s="30"/>
      <c r="U16" s="118"/>
    </row>
    <row r="17" ht="15" customHeight="1" spans="1:21">
      <c r="A17" s="23"/>
      <c r="B17" s="24" t="s">
        <v>11</v>
      </c>
      <c r="C17" s="25" t="s">
        <v>16</v>
      </c>
      <c r="D17" s="26">
        <v>5.1</v>
      </c>
      <c r="E17" s="31"/>
      <c r="F17" s="28"/>
      <c r="G17" s="29"/>
      <c r="H17" s="30">
        <f>D17*E16*3.28084</f>
        <v>250.98426</v>
      </c>
      <c r="I17" s="118">
        <f>I15+H17</f>
        <v>300.9842616</v>
      </c>
      <c r="J17" s="26">
        <v>5.1</v>
      </c>
      <c r="K17" s="31"/>
      <c r="L17" s="28"/>
      <c r="M17" s="29"/>
      <c r="N17" s="30">
        <f>J17*K16*3.28084</f>
        <v>250.98426</v>
      </c>
      <c r="O17" s="118">
        <f>O15+N17</f>
        <v>300.9842616</v>
      </c>
      <c r="P17" s="26">
        <v>5.1</v>
      </c>
      <c r="Q17" s="31"/>
      <c r="R17" s="28"/>
      <c r="S17" s="29"/>
      <c r="T17" s="30">
        <f>P17*Q16*3.28084</f>
        <v>250.98426</v>
      </c>
      <c r="U17" s="118">
        <f>U15+T17</f>
        <v>300.9842616</v>
      </c>
    </row>
    <row r="18" ht="15" customHeight="1" spans="1:21">
      <c r="A18" s="32" t="s">
        <v>17</v>
      </c>
      <c r="B18" s="33" t="s">
        <v>9</v>
      </c>
      <c r="C18" s="34" t="s">
        <v>18</v>
      </c>
      <c r="D18" s="35">
        <v>48.7</v>
      </c>
      <c r="E18" s="41">
        <v>18</v>
      </c>
      <c r="F18" s="37">
        <f>D18*E18</f>
        <v>876.6</v>
      </c>
      <c r="G18" s="38">
        <f>F18*0.000621371</f>
        <v>0.5446938186</v>
      </c>
      <c r="H18" s="39"/>
      <c r="I18" s="119"/>
      <c r="J18" s="35">
        <v>48.7</v>
      </c>
      <c r="K18" s="41">
        <v>18</v>
      </c>
      <c r="L18" s="37">
        <f t="shared" si="0"/>
        <v>876.6</v>
      </c>
      <c r="M18" s="38">
        <f t="shared" si="1"/>
        <v>0.5446938186</v>
      </c>
      <c r="N18" s="39"/>
      <c r="O18" s="119"/>
      <c r="P18" s="35">
        <v>48.7</v>
      </c>
      <c r="Q18" s="41">
        <v>18</v>
      </c>
      <c r="R18" s="37">
        <f t="shared" si="2"/>
        <v>876.6</v>
      </c>
      <c r="S18" s="38">
        <f t="shared" si="3"/>
        <v>0.5446938186</v>
      </c>
      <c r="T18" s="39"/>
      <c r="U18" s="119"/>
    </row>
    <row r="19" ht="15" customHeight="1" spans="1:21">
      <c r="A19" s="32"/>
      <c r="B19" s="33" t="s">
        <v>11</v>
      </c>
      <c r="C19" s="34"/>
      <c r="D19" s="35"/>
      <c r="E19" s="40"/>
      <c r="F19" s="37"/>
      <c r="G19" s="38"/>
      <c r="H19" s="39"/>
      <c r="I19" s="119"/>
      <c r="J19" s="35"/>
      <c r="K19" s="40"/>
      <c r="L19" s="37"/>
      <c r="M19" s="38"/>
      <c r="N19" s="39"/>
      <c r="O19" s="119"/>
      <c r="P19" s="35"/>
      <c r="Q19" s="40"/>
      <c r="R19" s="37"/>
      <c r="S19" s="38"/>
      <c r="T19" s="39"/>
      <c r="U19" s="119"/>
    </row>
    <row r="20" ht="15" customHeight="1" spans="1:21">
      <c r="A20" s="23" t="s">
        <v>19</v>
      </c>
      <c r="B20" s="24" t="s">
        <v>9</v>
      </c>
      <c r="C20" s="25" t="s">
        <v>20</v>
      </c>
      <c r="D20" s="26">
        <v>57.9</v>
      </c>
      <c r="E20" s="31">
        <v>72</v>
      </c>
      <c r="F20" s="28">
        <f>D20*E20</f>
        <v>4168.8</v>
      </c>
      <c r="G20" s="29">
        <f>F20*0.000621371</f>
        <v>2.5903714248</v>
      </c>
      <c r="H20" s="30"/>
      <c r="I20" s="118"/>
      <c r="J20" s="26">
        <v>57.9</v>
      </c>
      <c r="K20" s="31">
        <v>72</v>
      </c>
      <c r="L20" s="28">
        <f t="shared" si="0"/>
        <v>4168.8</v>
      </c>
      <c r="M20" s="29">
        <f t="shared" si="1"/>
        <v>2.5903714248</v>
      </c>
      <c r="N20" s="30"/>
      <c r="O20" s="118"/>
      <c r="P20" s="26">
        <v>57.9</v>
      </c>
      <c r="Q20" s="31">
        <v>72</v>
      </c>
      <c r="R20" s="28">
        <f t="shared" si="2"/>
        <v>4168.8</v>
      </c>
      <c r="S20" s="29">
        <f t="shared" si="3"/>
        <v>2.5903714248</v>
      </c>
      <c r="T20" s="30"/>
      <c r="U20" s="118"/>
    </row>
    <row r="21" ht="15" customHeight="1" spans="1:21">
      <c r="A21" s="23"/>
      <c r="B21" s="24" t="s">
        <v>11</v>
      </c>
      <c r="C21" s="25" t="s">
        <v>21</v>
      </c>
      <c r="D21" s="26">
        <v>5.1</v>
      </c>
      <c r="E21" s="31"/>
      <c r="F21" s="28"/>
      <c r="G21" s="29"/>
      <c r="H21" s="30">
        <f>D21*E20*3.28084</f>
        <v>1204.724448</v>
      </c>
      <c r="I21" s="118">
        <f>I17+H21</f>
        <v>1505.7087096</v>
      </c>
      <c r="J21" s="26">
        <v>5.1</v>
      </c>
      <c r="K21" s="31"/>
      <c r="L21" s="28"/>
      <c r="M21" s="29"/>
      <c r="N21" s="30">
        <f>J21*K20*3.28084</f>
        <v>1204.724448</v>
      </c>
      <c r="O21" s="118">
        <f>O17+N21</f>
        <v>1505.7087096</v>
      </c>
      <c r="P21" s="26">
        <v>5.1</v>
      </c>
      <c r="Q21" s="31"/>
      <c r="R21" s="28"/>
      <c r="S21" s="29"/>
      <c r="T21" s="30">
        <f>P21*Q20*3.28084</f>
        <v>1204.724448</v>
      </c>
      <c r="U21" s="118">
        <f>U17+T21</f>
        <v>1505.7087096</v>
      </c>
    </row>
    <row r="22" ht="15" customHeight="1" spans="1:21">
      <c r="A22" s="42" t="s">
        <v>22</v>
      </c>
      <c r="B22" s="43" t="s">
        <v>9</v>
      </c>
      <c r="C22" s="44" t="s">
        <v>23</v>
      </c>
      <c r="D22" s="45">
        <v>67.1</v>
      </c>
      <c r="E22" s="46">
        <f>D58</f>
        <v>558.23293961566</v>
      </c>
      <c r="F22" s="47">
        <f>D22*E22</f>
        <v>37457.4302482108</v>
      </c>
      <c r="G22" s="48">
        <f>F22*0.000621371</f>
        <v>23.274960890761</v>
      </c>
      <c r="H22" s="49"/>
      <c r="I22" s="120"/>
      <c r="J22" s="45">
        <v>67.1</v>
      </c>
      <c r="K22" s="46">
        <f>D59</f>
        <v>917.99597985411</v>
      </c>
      <c r="L22" s="47">
        <f t="shared" ref="L22:L26" si="4">J22*K22</f>
        <v>61597.5302482108</v>
      </c>
      <c r="M22" s="48">
        <f>L22*0.000621371</f>
        <v>38.274918967861</v>
      </c>
      <c r="N22" s="49"/>
      <c r="O22" s="120"/>
      <c r="P22" s="45">
        <v>67.1</v>
      </c>
      <c r="Q22" s="46">
        <f>D60</f>
        <v>1277.75902009256</v>
      </c>
      <c r="R22" s="47">
        <f t="shared" ref="R22:R26" si="5">P22*Q22</f>
        <v>85737.6302482108</v>
      </c>
      <c r="S22" s="48">
        <f>R22*0.000621371</f>
        <v>53.274877044961</v>
      </c>
      <c r="T22" s="49"/>
      <c r="U22" s="120"/>
    </row>
    <row r="23" ht="15" customHeight="1" spans="1:21">
      <c r="A23" s="42"/>
      <c r="B23" s="43" t="s">
        <v>11</v>
      </c>
      <c r="C23" s="44"/>
      <c r="D23" s="45"/>
      <c r="E23" s="50"/>
      <c r="F23" s="47"/>
      <c r="G23" s="48"/>
      <c r="H23" s="49"/>
      <c r="I23" s="120"/>
      <c r="J23" s="45"/>
      <c r="K23" s="50"/>
      <c r="L23" s="47"/>
      <c r="M23" s="48"/>
      <c r="N23" s="49"/>
      <c r="O23" s="120"/>
      <c r="P23" s="45"/>
      <c r="Q23" s="50"/>
      <c r="R23" s="47"/>
      <c r="S23" s="48"/>
      <c r="T23" s="49"/>
      <c r="U23" s="120"/>
    </row>
    <row r="24" ht="15" customHeight="1" spans="1:21">
      <c r="A24" s="23" t="s">
        <v>24</v>
      </c>
      <c r="B24" s="24" t="s">
        <v>9</v>
      </c>
      <c r="C24" s="25" t="s">
        <v>25</v>
      </c>
      <c r="D24" s="26">
        <v>57.9</v>
      </c>
      <c r="E24" s="31">
        <v>72</v>
      </c>
      <c r="F24" s="28">
        <f>D24*E24</f>
        <v>4168.8</v>
      </c>
      <c r="G24" s="29">
        <f>F24*0.000621371</f>
        <v>2.5903714248</v>
      </c>
      <c r="H24" s="30"/>
      <c r="I24" s="118"/>
      <c r="J24" s="26">
        <v>57.9</v>
      </c>
      <c r="K24" s="31">
        <v>72</v>
      </c>
      <c r="L24" s="28">
        <f t="shared" si="4"/>
        <v>4168.8</v>
      </c>
      <c r="M24" s="29">
        <f>L24*0.000621371</f>
        <v>2.5903714248</v>
      </c>
      <c r="N24" s="30"/>
      <c r="O24" s="118"/>
      <c r="P24" s="26">
        <v>57.9</v>
      </c>
      <c r="Q24" s="31">
        <v>72</v>
      </c>
      <c r="R24" s="28">
        <f t="shared" si="5"/>
        <v>4168.8</v>
      </c>
      <c r="S24" s="29">
        <f>R24*0.000621371</f>
        <v>2.5903714248</v>
      </c>
      <c r="T24" s="30"/>
      <c r="U24" s="118"/>
    </row>
    <row r="25" ht="15" customHeight="1" spans="1:21">
      <c r="A25" s="23"/>
      <c r="B25" s="24" t="s">
        <v>11</v>
      </c>
      <c r="C25" s="25" t="s">
        <v>26</v>
      </c>
      <c r="D25" s="26">
        <v>5.1</v>
      </c>
      <c r="E25" s="31"/>
      <c r="F25" s="28"/>
      <c r="G25" s="29"/>
      <c r="H25" s="30">
        <f>D25*E24*3.28084</f>
        <v>1204.724448</v>
      </c>
      <c r="I25" s="118">
        <f>I21-H25</f>
        <v>300.9842616</v>
      </c>
      <c r="J25" s="26">
        <v>5.1</v>
      </c>
      <c r="K25" s="31"/>
      <c r="L25" s="28"/>
      <c r="M25" s="29"/>
      <c r="N25" s="30">
        <f>J25*K24*3.28084</f>
        <v>1204.724448</v>
      </c>
      <c r="O25" s="118">
        <f>O21-N25</f>
        <v>300.9842616</v>
      </c>
      <c r="P25" s="26">
        <v>5.1</v>
      </c>
      <c r="Q25" s="31"/>
      <c r="R25" s="28"/>
      <c r="S25" s="29"/>
      <c r="T25" s="30">
        <f>P25*Q24*3.28084</f>
        <v>1204.724448</v>
      </c>
      <c r="U25" s="118">
        <f>U21-T25</f>
        <v>300.9842616</v>
      </c>
    </row>
    <row r="26" ht="15" customHeight="1" spans="1:21">
      <c r="A26" s="32" t="s">
        <v>28</v>
      </c>
      <c r="B26" s="33" t="s">
        <v>9</v>
      </c>
      <c r="C26" s="34" t="s">
        <v>29</v>
      </c>
      <c r="D26" s="35">
        <v>48.7</v>
      </c>
      <c r="E26" s="41">
        <v>18</v>
      </c>
      <c r="F26" s="37">
        <f>D26*E26</f>
        <v>876.6</v>
      </c>
      <c r="G26" s="38">
        <f>(F26*0.000621371)</f>
        <v>0.5446938186</v>
      </c>
      <c r="H26" s="39"/>
      <c r="I26" s="119"/>
      <c r="J26" s="35">
        <v>48.7</v>
      </c>
      <c r="K26" s="41">
        <v>18</v>
      </c>
      <c r="L26" s="37">
        <f t="shared" si="4"/>
        <v>876.6</v>
      </c>
      <c r="M26" s="38">
        <f>(L26*0.000621371)</f>
        <v>0.5446938186</v>
      </c>
      <c r="N26" s="39"/>
      <c r="O26" s="119"/>
      <c r="P26" s="35">
        <v>48.7</v>
      </c>
      <c r="Q26" s="41">
        <v>18</v>
      </c>
      <c r="R26" s="37">
        <f t="shared" si="5"/>
        <v>876.6</v>
      </c>
      <c r="S26" s="38">
        <f>(R26*0.000621371)</f>
        <v>0.5446938186</v>
      </c>
      <c r="T26" s="39"/>
      <c r="U26" s="119"/>
    </row>
    <row r="27" ht="15" customHeight="1" spans="1:21">
      <c r="A27" s="32"/>
      <c r="B27" s="33" t="s">
        <v>11</v>
      </c>
      <c r="C27" s="34"/>
      <c r="D27" s="35"/>
      <c r="E27" s="40"/>
      <c r="F27" s="37"/>
      <c r="G27" s="38"/>
      <c r="H27" s="39"/>
      <c r="I27" s="119"/>
      <c r="J27" s="35"/>
      <c r="K27" s="40"/>
      <c r="L27" s="37"/>
      <c r="M27" s="38"/>
      <c r="N27" s="39"/>
      <c r="O27" s="119"/>
      <c r="P27" s="35"/>
      <c r="Q27" s="40"/>
      <c r="R27" s="37"/>
      <c r="S27" s="38"/>
      <c r="T27" s="39"/>
      <c r="U27" s="119"/>
    </row>
    <row r="28" ht="15" customHeight="1" spans="1:21">
      <c r="A28" s="23" t="s">
        <v>30</v>
      </c>
      <c r="B28" s="24" t="s">
        <v>9</v>
      </c>
      <c r="C28" s="25" t="s">
        <v>31</v>
      </c>
      <c r="D28" s="26">
        <v>24.4</v>
      </c>
      <c r="E28" s="31">
        <v>15</v>
      </c>
      <c r="F28" s="28">
        <f>D28*E28</f>
        <v>366</v>
      </c>
      <c r="G28" s="29">
        <f>F28*0.000621371</f>
        <v>0.227421786</v>
      </c>
      <c r="H28" s="30"/>
      <c r="I28" s="118"/>
      <c r="J28" s="26">
        <v>24.4</v>
      </c>
      <c r="K28" s="31">
        <v>15</v>
      </c>
      <c r="L28" s="28">
        <f>J28*K28</f>
        <v>366</v>
      </c>
      <c r="M28" s="29">
        <f>L28*0.000621371</f>
        <v>0.227421786</v>
      </c>
      <c r="N28" s="30"/>
      <c r="O28" s="118"/>
      <c r="P28" s="26">
        <v>24.4</v>
      </c>
      <c r="Q28" s="31">
        <v>15</v>
      </c>
      <c r="R28" s="28">
        <f>P28*Q28</f>
        <v>366</v>
      </c>
      <c r="S28" s="29">
        <f>R28*0.000621371</f>
        <v>0.227421786</v>
      </c>
      <c r="T28" s="30"/>
      <c r="U28" s="118"/>
    </row>
    <row r="29" ht="15" customHeight="1" spans="1:21">
      <c r="A29" s="23"/>
      <c r="B29" s="24" t="s">
        <v>11</v>
      </c>
      <c r="C29" s="25" t="s">
        <v>32</v>
      </c>
      <c r="D29" s="26">
        <v>5.1</v>
      </c>
      <c r="E29" s="31"/>
      <c r="F29" s="28"/>
      <c r="G29" s="29"/>
      <c r="H29" s="30">
        <f>D29*E28*3.28084</f>
        <v>250.98426</v>
      </c>
      <c r="I29" s="118">
        <f>I25-H29</f>
        <v>50.0000016000001</v>
      </c>
      <c r="J29" s="26">
        <v>5.1</v>
      </c>
      <c r="K29" s="31"/>
      <c r="L29" s="28"/>
      <c r="M29" s="29"/>
      <c r="N29" s="30">
        <f>J29*K28*3.28084</f>
        <v>250.98426</v>
      </c>
      <c r="O29" s="118">
        <f>O25-N29</f>
        <v>50.0000016000001</v>
      </c>
      <c r="P29" s="26">
        <v>5.1</v>
      </c>
      <c r="Q29" s="31"/>
      <c r="R29" s="28"/>
      <c r="S29" s="29"/>
      <c r="T29" s="30">
        <f>P29*Q28*3.28084</f>
        <v>250.98426</v>
      </c>
      <c r="U29" s="118">
        <f>U25-T29</f>
        <v>50.0000016000001</v>
      </c>
    </row>
    <row r="30" ht="15" customHeight="1" spans="1:21">
      <c r="A30" s="32" t="s">
        <v>34</v>
      </c>
      <c r="B30" s="33" t="s">
        <v>9</v>
      </c>
      <c r="C30" s="34"/>
      <c r="D30" s="35"/>
      <c r="E30" s="40">
        <v>6</v>
      </c>
      <c r="F30" s="37"/>
      <c r="G30" s="38"/>
      <c r="H30" s="39"/>
      <c r="I30" s="119"/>
      <c r="J30" s="35"/>
      <c r="K30" s="40">
        <v>6</v>
      </c>
      <c r="L30" s="37"/>
      <c r="M30" s="38"/>
      <c r="N30" s="39"/>
      <c r="O30" s="119"/>
      <c r="P30" s="35"/>
      <c r="Q30" s="40">
        <v>6</v>
      </c>
      <c r="R30" s="37"/>
      <c r="S30" s="38"/>
      <c r="T30" s="39"/>
      <c r="U30" s="119"/>
    </row>
    <row r="31" ht="15" customHeight="1" spans="1:21">
      <c r="A31" s="32"/>
      <c r="B31" s="33" t="s">
        <v>11</v>
      </c>
      <c r="C31" s="34" t="s">
        <v>35</v>
      </c>
      <c r="D31" s="35">
        <v>2.54</v>
      </c>
      <c r="E31" s="40"/>
      <c r="F31" s="37"/>
      <c r="G31" s="38"/>
      <c r="H31" s="39">
        <f>D31*E30*3.28084</f>
        <v>50.0000016</v>
      </c>
      <c r="I31" s="119">
        <f>I29-H31</f>
        <v>7.8159700933611e-14</v>
      </c>
      <c r="J31" s="35">
        <v>2.54</v>
      </c>
      <c r="K31" s="40"/>
      <c r="L31" s="37"/>
      <c r="M31" s="38"/>
      <c r="N31" s="39">
        <f>J31*K30*3.28084</f>
        <v>50.0000016</v>
      </c>
      <c r="O31" s="119">
        <f>O29-N31</f>
        <v>7.8159700933611e-14</v>
      </c>
      <c r="P31" s="35">
        <v>2.54</v>
      </c>
      <c r="Q31" s="40"/>
      <c r="R31" s="37"/>
      <c r="S31" s="38"/>
      <c r="T31" s="39">
        <f>P31*Q30*3.28084</f>
        <v>50.0000016</v>
      </c>
      <c r="U31" s="119">
        <f>U29-T31</f>
        <v>7.8159700933611e-14</v>
      </c>
    </row>
    <row r="32" ht="15" customHeight="1" spans="1:21">
      <c r="A32" s="23" t="s">
        <v>37</v>
      </c>
      <c r="B32" s="24" t="s">
        <v>9</v>
      </c>
      <c r="C32" s="25" t="s">
        <v>38</v>
      </c>
      <c r="D32" s="26">
        <v>1.34</v>
      </c>
      <c r="E32" s="27">
        <v>30</v>
      </c>
      <c r="F32" s="28">
        <f>D32*E32</f>
        <v>40.2</v>
      </c>
      <c r="G32" s="29">
        <f>F32*0.000621371</f>
        <v>0.0249791142</v>
      </c>
      <c r="H32" s="30"/>
      <c r="I32" s="118"/>
      <c r="J32" s="26">
        <v>1.34</v>
      </c>
      <c r="K32" s="27">
        <v>30</v>
      </c>
      <c r="L32" s="28">
        <f>J32*K32</f>
        <v>40.2</v>
      </c>
      <c r="M32" s="29">
        <f>L32*0.000621371</f>
        <v>0.0249791142</v>
      </c>
      <c r="N32" s="30"/>
      <c r="O32" s="118"/>
      <c r="P32" s="26">
        <v>1.34</v>
      </c>
      <c r="Q32" s="27">
        <v>30</v>
      </c>
      <c r="R32" s="28">
        <f>P32*Q32</f>
        <v>40.2</v>
      </c>
      <c r="S32" s="29">
        <f>R32*0.000621371</f>
        <v>0.0249791142</v>
      </c>
      <c r="T32" s="30"/>
      <c r="U32" s="118"/>
    </row>
    <row r="33" ht="15" customHeight="1" spans="1:21">
      <c r="A33" s="23"/>
      <c r="B33" s="24" t="s">
        <v>11</v>
      </c>
      <c r="C33" s="25"/>
      <c r="D33" s="26"/>
      <c r="E33" s="31"/>
      <c r="F33" s="28"/>
      <c r="G33" s="29"/>
      <c r="H33" s="51"/>
      <c r="I33" s="121"/>
      <c r="J33" s="26"/>
      <c r="K33" s="31"/>
      <c r="L33" s="28"/>
      <c r="M33" s="29"/>
      <c r="N33" s="51"/>
      <c r="O33" s="121"/>
      <c r="P33" s="26"/>
      <c r="Q33" s="31"/>
      <c r="R33" s="28"/>
      <c r="S33" s="29"/>
      <c r="T33" s="51"/>
      <c r="U33" s="121"/>
    </row>
    <row r="34" ht="15" customHeight="1" spans="1:21">
      <c r="A34" s="52" t="s">
        <v>39</v>
      </c>
      <c r="B34" s="53" t="s">
        <v>9</v>
      </c>
      <c r="C34" s="54"/>
      <c r="D34" s="123"/>
      <c r="E34" s="184">
        <v>6</v>
      </c>
      <c r="F34" s="125"/>
      <c r="G34" s="126"/>
      <c r="H34" s="127"/>
      <c r="I34" s="128"/>
      <c r="J34" s="129"/>
      <c r="K34" s="164"/>
      <c r="L34" s="165"/>
      <c r="M34" s="166"/>
      <c r="N34" s="164"/>
      <c r="O34" s="167"/>
      <c r="P34" s="129"/>
      <c r="Q34" s="164"/>
      <c r="R34" s="165"/>
      <c r="S34" s="166"/>
      <c r="T34" s="164"/>
      <c r="U34" s="167"/>
    </row>
    <row r="35" ht="15" customHeight="1" spans="1:21">
      <c r="A35" s="32"/>
      <c r="B35" s="33" t="s">
        <v>11</v>
      </c>
      <c r="C35" s="34" t="s">
        <v>40</v>
      </c>
      <c r="D35" s="35">
        <v>2.54</v>
      </c>
      <c r="E35" s="131"/>
      <c r="F35" s="37"/>
      <c r="G35" s="38"/>
      <c r="H35" s="132">
        <f>D35*E34*3.28084</f>
        <v>50.0000016</v>
      </c>
      <c r="I35" s="133">
        <f>H35</f>
        <v>50.0000016</v>
      </c>
      <c r="J35" s="134"/>
      <c r="K35" s="168"/>
      <c r="L35" s="169"/>
      <c r="M35" s="170"/>
      <c r="N35" s="168"/>
      <c r="O35" s="171"/>
      <c r="P35" s="134"/>
      <c r="Q35" s="168"/>
      <c r="R35" s="169"/>
      <c r="S35" s="170"/>
      <c r="T35" s="168"/>
      <c r="U35" s="171"/>
    </row>
    <row r="36" ht="15" customHeight="1" spans="1:21">
      <c r="A36" s="23" t="s">
        <v>41</v>
      </c>
      <c r="B36" s="24" t="s">
        <v>9</v>
      </c>
      <c r="C36" s="25" t="s">
        <v>42</v>
      </c>
      <c r="D36" s="26">
        <v>24.4</v>
      </c>
      <c r="E36" s="138">
        <v>15</v>
      </c>
      <c r="F36" s="28">
        <f>D36*E36</f>
        <v>366</v>
      </c>
      <c r="G36" s="29">
        <f>F36*0.000621371</f>
        <v>0.227421786</v>
      </c>
      <c r="H36" s="30"/>
      <c r="I36" s="118"/>
      <c r="J36" s="137"/>
      <c r="K36" s="172"/>
      <c r="L36" s="173"/>
      <c r="M36" s="174"/>
      <c r="N36" s="172"/>
      <c r="O36" s="175"/>
      <c r="P36" s="137"/>
      <c r="Q36" s="172"/>
      <c r="R36" s="173"/>
      <c r="S36" s="174"/>
      <c r="T36" s="172"/>
      <c r="U36" s="175"/>
    </row>
    <row r="37" ht="15" customHeight="1" spans="1:21">
      <c r="A37" s="23"/>
      <c r="B37" s="24" t="s">
        <v>11</v>
      </c>
      <c r="C37" s="25" t="s">
        <v>43</v>
      </c>
      <c r="D37" s="26">
        <v>5.1</v>
      </c>
      <c r="E37" s="138"/>
      <c r="F37" s="28"/>
      <c r="G37" s="28"/>
      <c r="H37" s="30">
        <f>D37*E36*3.28084</f>
        <v>250.98426</v>
      </c>
      <c r="I37" s="118">
        <f>I35+H37</f>
        <v>300.9842616</v>
      </c>
      <c r="J37" s="137"/>
      <c r="K37" s="172"/>
      <c r="L37" s="173"/>
      <c r="M37" s="174"/>
      <c r="N37" s="172"/>
      <c r="O37" s="175"/>
      <c r="P37" s="137"/>
      <c r="Q37" s="172"/>
      <c r="R37" s="173"/>
      <c r="S37" s="174"/>
      <c r="T37" s="172"/>
      <c r="U37" s="175"/>
    </row>
    <row r="38" ht="15" customHeight="1" spans="1:21">
      <c r="A38" s="32" t="s">
        <v>44</v>
      </c>
      <c r="B38" s="33" t="s">
        <v>9</v>
      </c>
      <c r="C38" s="34" t="s">
        <v>45</v>
      </c>
      <c r="D38" s="35">
        <v>57.9</v>
      </c>
      <c r="E38" s="131">
        <v>12</v>
      </c>
      <c r="F38" s="37">
        <f>D38*E38</f>
        <v>694.8</v>
      </c>
      <c r="G38" s="38">
        <f>F38*0.000621371</f>
        <v>0.4317285708</v>
      </c>
      <c r="H38" s="132"/>
      <c r="I38" s="133"/>
      <c r="J38" s="134"/>
      <c r="K38" s="168"/>
      <c r="L38" s="169"/>
      <c r="M38" s="170"/>
      <c r="N38" s="168"/>
      <c r="O38" s="171"/>
      <c r="P38" s="134"/>
      <c r="Q38" s="168"/>
      <c r="R38" s="169"/>
      <c r="S38" s="170"/>
      <c r="T38" s="168"/>
      <c r="U38" s="171"/>
    </row>
    <row r="39" ht="15" customHeight="1" spans="1:21">
      <c r="A39" s="32"/>
      <c r="B39" s="33" t="s">
        <v>11</v>
      </c>
      <c r="C39" s="34" t="s">
        <v>46</v>
      </c>
      <c r="D39" s="35">
        <v>5.1</v>
      </c>
      <c r="E39" s="131"/>
      <c r="F39" s="37"/>
      <c r="G39" s="38"/>
      <c r="H39" s="132">
        <f>D39*E38*3.28084</f>
        <v>200.787408</v>
      </c>
      <c r="I39" s="133">
        <f>I37+H39</f>
        <v>501.7716696</v>
      </c>
      <c r="J39" s="134"/>
      <c r="K39" s="168"/>
      <c r="L39" s="169"/>
      <c r="M39" s="170"/>
      <c r="N39" s="168"/>
      <c r="O39" s="171"/>
      <c r="P39" s="134"/>
      <c r="Q39" s="168"/>
      <c r="R39" s="169"/>
      <c r="S39" s="170"/>
      <c r="T39" s="168"/>
      <c r="U39" s="171"/>
    </row>
    <row r="40" ht="15" customHeight="1" spans="1:21">
      <c r="A40" s="42" t="s">
        <v>47</v>
      </c>
      <c r="B40" s="43" t="s">
        <v>9</v>
      </c>
      <c r="C40" s="44" t="s">
        <v>48</v>
      </c>
      <c r="D40" s="45">
        <v>67.1</v>
      </c>
      <c r="E40" s="143">
        <f>D62</f>
        <v>112.28682458383</v>
      </c>
      <c r="F40" s="47">
        <f>D40*E40</f>
        <v>7534.44592957497</v>
      </c>
      <c r="G40" s="47">
        <f>F40*0.000621371</f>
        <v>4.68168620170593</v>
      </c>
      <c r="H40" s="140"/>
      <c r="I40" s="141"/>
      <c r="J40" s="142"/>
      <c r="K40" s="176"/>
      <c r="L40" s="177"/>
      <c r="M40" s="178"/>
      <c r="N40" s="176"/>
      <c r="O40" s="179"/>
      <c r="P40" s="142"/>
      <c r="Q40" s="176"/>
      <c r="R40" s="177"/>
      <c r="S40" s="178"/>
      <c r="T40" s="176"/>
      <c r="U40" s="179"/>
    </row>
    <row r="41" ht="15" customHeight="1" spans="1:21">
      <c r="A41" s="42"/>
      <c r="B41" s="43" t="s">
        <v>11</v>
      </c>
      <c r="C41" s="44"/>
      <c r="D41" s="45"/>
      <c r="E41" s="143"/>
      <c r="F41" s="47"/>
      <c r="G41" s="47"/>
      <c r="H41" s="140"/>
      <c r="I41" s="141"/>
      <c r="J41" s="142"/>
      <c r="K41" s="176"/>
      <c r="L41" s="177"/>
      <c r="M41" s="178"/>
      <c r="N41" s="176"/>
      <c r="O41" s="179"/>
      <c r="P41" s="142"/>
      <c r="Q41" s="176"/>
      <c r="R41" s="177"/>
      <c r="S41" s="178"/>
      <c r="T41" s="176"/>
      <c r="U41" s="179"/>
    </row>
    <row r="42" ht="15" customHeight="1" spans="1:21">
      <c r="A42" s="32" t="s">
        <v>49</v>
      </c>
      <c r="B42" s="33" t="s">
        <v>9</v>
      </c>
      <c r="C42" s="34" t="s">
        <v>50</v>
      </c>
      <c r="D42" s="35">
        <v>57.9</v>
      </c>
      <c r="E42" s="131">
        <v>12</v>
      </c>
      <c r="F42" s="37">
        <f>D42*E42</f>
        <v>694.8</v>
      </c>
      <c r="G42" s="38">
        <f>F42*0.000621371</f>
        <v>0.4317285708</v>
      </c>
      <c r="H42" s="132"/>
      <c r="I42" s="133"/>
      <c r="J42" s="134"/>
      <c r="K42" s="168"/>
      <c r="L42" s="169"/>
      <c r="M42" s="170"/>
      <c r="N42" s="168"/>
      <c r="O42" s="171"/>
      <c r="P42" s="134"/>
      <c r="Q42" s="168"/>
      <c r="R42" s="169"/>
      <c r="S42" s="170"/>
      <c r="T42" s="168"/>
      <c r="U42" s="171"/>
    </row>
    <row r="43" ht="15" customHeight="1" spans="1:21">
      <c r="A43" s="32"/>
      <c r="B43" s="33" t="s">
        <v>11</v>
      </c>
      <c r="C43" s="34" t="s">
        <v>51</v>
      </c>
      <c r="D43" s="35">
        <v>5.1</v>
      </c>
      <c r="E43" s="131"/>
      <c r="F43" s="37"/>
      <c r="G43" s="38"/>
      <c r="H43" s="132">
        <f>D43*E42*3.28084</f>
        <v>200.787408</v>
      </c>
      <c r="I43" s="133">
        <f>I39-H43</f>
        <v>300.9842616</v>
      </c>
      <c r="J43" s="134"/>
      <c r="K43" s="168"/>
      <c r="L43" s="169"/>
      <c r="M43" s="170"/>
      <c r="N43" s="168"/>
      <c r="O43" s="171"/>
      <c r="P43" s="134"/>
      <c r="Q43" s="168"/>
      <c r="R43" s="169"/>
      <c r="S43" s="170"/>
      <c r="T43" s="168"/>
      <c r="U43" s="171"/>
    </row>
    <row r="44" ht="15" customHeight="1" spans="1:21">
      <c r="A44" s="23" t="s">
        <v>53</v>
      </c>
      <c r="B44" s="24" t="s">
        <v>9</v>
      </c>
      <c r="C44" s="25" t="s">
        <v>54</v>
      </c>
      <c r="D44" s="26">
        <v>24.4</v>
      </c>
      <c r="E44" s="138">
        <v>15</v>
      </c>
      <c r="F44" s="28">
        <f>D44*E44</f>
        <v>366</v>
      </c>
      <c r="G44" s="29">
        <f>F44*0.000621371</f>
        <v>0.227421786</v>
      </c>
      <c r="H44" s="30"/>
      <c r="I44" s="118"/>
      <c r="J44" s="137"/>
      <c r="K44" s="172"/>
      <c r="L44" s="173"/>
      <c r="M44" s="174"/>
      <c r="N44" s="172"/>
      <c r="O44" s="175"/>
      <c r="P44" s="137"/>
      <c r="Q44" s="172"/>
      <c r="R44" s="173"/>
      <c r="S44" s="174"/>
      <c r="T44" s="172"/>
      <c r="U44" s="175"/>
    </row>
    <row r="45" ht="15" customHeight="1" spans="1:21">
      <c r="A45" s="23"/>
      <c r="B45" s="24" t="s">
        <v>11</v>
      </c>
      <c r="C45" s="25" t="s">
        <v>55</v>
      </c>
      <c r="D45" s="26">
        <v>5.1</v>
      </c>
      <c r="E45" s="138"/>
      <c r="F45" s="28"/>
      <c r="G45" s="28"/>
      <c r="H45" s="30">
        <f>D45*E44*3.28084</f>
        <v>250.98426</v>
      </c>
      <c r="I45" s="118">
        <f>I43-H45</f>
        <v>50.0000016</v>
      </c>
      <c r="J45" s="137"/>
      <c r="K45" s="172"/>
      <c r="L45" s="173"/>
      <c r="M45" s="174"/>
      <c r="N45" s="172"/>
      <c r="O45" s="175"/>
      <c r="P45" s="137"/>
      <c r="Q45" s="172"/>
      <c r="R45" s="173"/>
      <c r="S45" s="174"/>
      <c r="T45" s="172"/>
      <c r="U45" s="175"/>
    </row>
    <row r="46" ht="15" customHeight="1" spans="1:21">
      <c r="A46" s="32" t="s">
        <v>56</v>
      </c>
      <c r="B46" s="33" t="s">
        <v>9</v>
      </c>
      <c r="C46" s="34"/>
      <c r="D46" s="35"/>
      <c r="E46" s="131">
        <v>6</v>
      </c>
      <c r="F46" s="37"/>
      <c r="G46" s="38"/>
      <c r="H46" s="132"/>
      <c r="I46" s="133"/>
      <c r="J46" s="134"/>
      <c r="K46" s="168"/>
      <c r="L46" s="169"/>
      <c r="M46" s="170"/>
      <c r="N46" s="168"/>
      <c r="O46" s="171"/>
      <c r="P46" s="134"/>
      <c r="Q46" s="168"/>
      <c r="R46" s="169"/>
      <c r="S46" s="170"/>
      <c r="T46" s="168"/>
      <c r="U46" s="171"/>
    </row>
    <row r="47" ht="15" customHeight="1" spans="1:21">
      <c r="A47" s="74"/>
      <c r="B47" s="75" t="s">
        <v>11</v>
      </c>
      <c r="C47" s="76" t="s">
        <v>57</v>
      </c>
      <c r="D47" s="145">
        <v>2.54</v>
      </c>
      <c r="E47" s="146"/>
      <c r="F47" s="147"/>
      <c r="G47" s="148"/>
      <c r="H47" s="149">
        <f>D47*E46*3.28084</f>
        <v>50.0000016</v>
      </c>
      <c r="I47" s="150">
        <f>I45-H47</f>
        <v>0</v>
      </c>
      <c r="J47" s="151"/>
      <c r="K47" s="180"/>
      <c r="L47" s="181"/>
      <c r="M47" s="182"/>
      <c r="N47" s="180"/>
      <c r="O47" s="183"/>
      <c r="P47" s="151"/>
      <c r="Q47" s="180"/>
      <c r="R47" s="181"/>
      <c r="S47" s="182"/>
      <c r="T47" s="180"/>
      <c r="U47" s="183"/>
    </row>
    <row r="48" spans="6:21">
      <c r="F48" s="82"/>
      <c r="G48" s="83"/>
      <c r="H48" s="84"/>
      <c r="I48" s="84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</row>
    <row r="49" spans="6:21">
      <c r="F49" s="82"/>
      <c r="G49" s="83"/>
      <c r="H49" s="84"/>
      <c r="I49" s="84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</row>
    <row r="50" spans="4:21">
      <c r="D50" s="185" t="s">
        <v>80</v>
      </c>
      <c r="E50" s="186">
        <f>SUM(E12,E14,E16,E18,E20,E22,E24,E26,E28,E30,E32)/60</f>
        <v>14.0038823269277</v>
      </c>
      <c r="F50" s="87">
        <f>SUM(F16,F18,F20,F22,F24,F26,F28)</f>
        <v>48280.2302482108</v>
      </c>
      <c r="G50" s="88">
        <f>SUM(G16,G18,G20,G22,G24,G26,G28)</f>
        <v>29.999934949561</v>
      </c>
      <c r="H50" s="89"/>
      <c r="I50" s="152" t="s">
        <v>81</v>
      </c>
      <c r="J50" s="93"/>
      <c r="K50" s="86">
        <f>SUM(K12,K14,K16,K18,K20,K22,K24,K26,K28,K30,K32)/60</f>
        <v>19.9999329975685</v>
      </c>
      <c r="L50" s="87">
        <f>SUM(L16,L18,L20,L22,L24,L26,L28)</f>
        <v>72420.3302482108</v>
      </c>
      <c r="M50" s="88">
        <f>SUM(M16,M18,M20,M22,M24,M26,M28)</f>
        <v>44.999893026661</v>
      </c>
      <c r="N50" s="89"/>
      <c r="O50" s="152" t="s">
        <v>81</v>
      </c>
      <c r="P50" s="93"/>
      <c r="Q50" s="86">
        <f>SUM(Q12,Q14,Q16,Q18,Q20,Q22,Q24,Q26,Q28,Q30,Q32)/60</f>
        <v>25.9959836682093</v>
      </c>
      <c r="R50" s="87">
        <f>SUM(R16,R18,R20,R22,R24,R26,R28)</f>
        <v>96560.4302482108</v>
      </c>
      <c r="S50" s="88">
        <f>SUM(S16,S18,S20,S22,S24,S26,S28)</f>
        <v>59.999851103761</v>
      </c>
      <c r="T50" s="89"/>
      <c r="U50" s="152" t="s">
        <v>81</v>
      </c>
    </row>
    <row r="51" spans="4:21">
      <c r="D51" s="90"/>
      <c r="E51" s="91" t="s">
        <v>82</v>
      </c>
      <c r="F51" s="91" t="s">
        <v>83</v>
      </c>
      <c r="G51" s="91" t="s">
        <v>84</v>
      </c>
      <c r="H51" s="92"/>
      <c r="I51" s="153" t="s">
        <v>85</v>
      </c>
      <c r="J51" s="93"/>
      <c r="K51" s="90" t="s">
        <v>82</v>
      </c>
      <c r="L51" s="91" t="s">
        <v>83</v>
      </c>
      <c r="M51" s="91" t="s">
        <v>84</v>
      </c>
      <c r="N51" s="92"/>
      <c r="O51" s="153" t="s">
        <v>85</v>
      </c>
      <c r="P51" s="93"/>
      <c r="Q51" s="90" t="s">
        <v>82</v>
      </c>
      <c r="R51" s="91" t="s">
        <v>83</v>
      </c>
      <c r="S51" s="91" t="s">
        <v>84</v>
      </c>
      <c r="T51" s="92"/>
      <c r="U51" s="153" t="s">
        <v>85</v>
      </c>
    </row>
    <row r="52" spans="8:21">
      <c r="H52" s="93"/>
      <c r="I52" s="93"/>
      <c r="J52" s="93"/>
      <c r="K52" s="93"/>
      <c r="N52" s="93"/>
      <c r="O52" s="93"/>
      <c r="P52" s="93"/>
      <c r="Q52" s="93"/>
      <c r="T52" s="93"/>
      <c r="U52" s="93"/>
    </row>
    <row r="53" spans="4:21">
      <c r="D53" s="185" t="s">
        <v>86</v>
      </c>
      <c r="E53" s="186">
        <f>SUM(E34,E36,E38,E40,E42,E44,E46)/60</f>
        <v>2.97144707639716</v>
      </c>
      <c r="F53" s="87">
        <f>SUM(F36,F38,F40,F42,F44)</f>
        <v>9656.04592957497</v>
      </c>
      <c r="G53" s="88">
        <f>SUM(G36,G38,G40,G42,G44)</f>
        <v>5.99998691530593</v>
      </c>
      <c r="H53" s="187"/>
      <c r="I53" s="152" t="s">
        <v>87</v>
      </c>
      <c r="J53" s="93"/>
      <c r="K53" s="93"/>
      <c r="L53" s="82"/>
      <c r="M53" s="83"/>
      <c r="N53" s="93"/>
      <c r="O53" s="84"/>
      <c r="P53" s="93"/>
      <c r="Q53" s="93"/>
      <c r="R53" s="82"/>
      <c r="S53" s="83"/>
      <c r="T53" s="93"/>
      <c r="U53" s="84"/>
    </row>
    <row r="54" spans="4:21">
      <c r="D54" s="90"/>
      <c r="E54" s="91" t="s">
        <v>82</v>
      </c>
      <c r="F54" s="91" t="s">
        <v>83</v>
      </c>
      <c r="G54" s="91" t="s">
        <v>84</v>
      </c>
      <c r="H54" s="91"/>
      <c r="I54" s="153" t="s">
        <v>85</v>
      </c>
      <c r="O54" s="93"/>
      <c r="U54" s="93"/>
    </row>
    <row r="55" spans="1:2">
      <c r="A55" s="100"/>
      <c r="B55" s="101"/>
    </row>
    <row r="56" spans="1:1">
      <c r="A56" s="102" t="s">
        <v>88</v>
      </c>
    </row>
    <row r="57" ht="28.8" spans="1:4">
      <c r="A57" s="103" t="s">
        <v>89</v>
      </c>
      <c r="B57" s="4"/>
      <c r="C57" s="4" t="s">
        <v>90</v>
      </c>
      <c r="D57" s="104" t="s">
        <v>91</v>
      </c>
    </row>
    <row r="58" spans="1:4">
      <c r="A58" s="105" t="s">
        <v>92</v>
      </c>
      <c r="B58" s="106">
        <v>30</v>
      </c>
      <c r="C58" s="107">
        <f>B58-SUM(G16,G18,G20,G24,G26,G28)</f>
        <v>23.2750259412</v>
      </c>
      <c r="D58" s="108">
        <f>C58*1609.34/($D$22)</f>
        <v>558.23293961566</v>
      </c>
    </row>
    <row r="59" spans="1:4">
      <c r="A59" s="105" t="s">
        <v>93</v>
      </c>
      <c r="B59" s="106">
        <v>45</v>
      </c>
      <c r="C59" s="107">
        <f>B59-SUM(G16,G18,G20,G24,G26,G28)</f>
        <v>38.2750259412</v>
      </c>
      <c r="D59" s="108">
        <f>C59*1609.34/($D$22)</f>
        <v>917.99597985411</v>
      </c>
    </row>
    <row r="60" spans="1:4">
      <c r="A60" s="105" t="s">
        <v>94</v>
      </c>
      <c r="B60" s="106">
        <v>60</v>
      </c>
      <c r="C60" s="107">
        <f>B60-SUM(G16,G18,G20,G24,G26,G28)</f>
        <v>53.2750259412</v>
      </c>
      <c r="D60" s="108">
        <f>C60*1609.34/($D$22)</f>
        <v>1277.75902009256</v>
      </c>
    </row>
    <row r="61" spans="1:4">
      <c r="A61" s="105"/>
      <c r="B61" s="106"/>
      <c r="C61" s="106"/>
      <c r="D61" s="188"/>
    </row>
    <row r="62" spans="1:4">
      <c r="A62" s="109" t="s">
        <v>95</v>
      </c>
      <c r="B62" s="110">
        <v>6</v>
      </c>
      <c r="C62" s="111">
        <f>B62-SUM(G36,G38,G42,G44)</f>
        <v>4.6816992864</v>
      </c>
      <c r="D62" s="112">
        <f>C62*1609.34/(D40)</f>
        <v>112.28682458383</v>
      </c>
    </row>
  </sheetData>
  <mergeCells count="22">
    <mergeCell ref="D10:I10"/>
    <mergeCell ref="J10:O10"/>
    <mergeCell ref="P10:U10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0:C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tabSelected="1" zoomScale="70" zoomScaleNormal="70" workbookViewId="0">
      <selection activeCell="K7" sqref="K7"/>
    </sheetView>
  </sheetViews>
  <sheetFormatPr defaultColWidth="9" defaultRowHeight="14.4"/>
  <cols>
    <col min="1" max="1" width="26.537037037037" style="2" customWidth="1"/>
    <col min="2" max="2" width="10.5925925925926" style="1" customWidth="1"/>
    <col min="3" max="3" width="37.6388888888889" style="1" customWidth="1"/>
    <col min="4" max="21" width="10.7777777777778" style="1" customWidth="1"/>
    <col min="22" max="16384" width="9" style="1"/>
  </cols>
  <sheetData>
    <row r="1" spans="1:6">
      <c r="A1" s="3" t="s">
        <v>60</v>
      </c>
      <c r="B1" s="4">
        <v>40.6</v>
      </c>
      <c r="E1" s="5" t="s">
        <v>61</v>
      </c>
      <c r="F1" s="6" t="s">
        <v>62</v>
      </c>
    </row>
    <row r="2" spans="1:6">
      <c r="A2" s="3" t="s">
        <v>7</v>
      </c>
      <c r="B2" s="7">
        <v>3000</v>
      </c>
      <c r="C2" s="1" t="s">
        <v>63</v>
      </c>
      <c r="F2" s="6" t="s">
        <v>64</v>
      </c>
    </row>
    <row r="3" spans="1:6">
      <c r="A3" s="3" t="s">
        <v>65</v>
      </c>
      <c r="B3" s="7">
        <v>1000</v>
      </c>
      <c r="C3" s="1" t="s">
        <v>66</v>
      </c>
      <c r="F3" s="6" t="s">
        <v>67</v>
      </c>
    </row>
    <row r="4" spans="1:6">
      <c r="A4" s="3" t="s">
        <v>68</v>
      </c>
      <c r="B4" s="8">
        <v>6</v>
      </c>
      <c r="C4" s="1" t="s">
        <v>66</v>
      </c>
      <c r="F4" s="6" t="s">
        <v>69</v>
      </c>
    </row>
    <row r="5" spans="1:6">
      <c r="A5" s="3" t="s">
        <v>70</v>
      </c>
      <c r="B5" s="4">
        <v>30</v>
      </c>
      <c r="F5" s="9" t="s">
        <v>71</v>
      </c>
    </row>
    <row r="6" spans="1:6">
      <c r="A6" s="3" t="s">
        <v>72</v>
      </c>
      <c r="B6" s="4">
        <v>45</v>
      </c>
      <c r="F6" s="6" t="s">
        <v>73</v>
      </c>
    </row>
    <row r="7" spans="1:6">
      <c r="A7" s="3" t="s">
        <v>74</v>
      </c>
      <c r="B7" s="4">
        <v>60</v>
      </c>
      <c r="F7" s="6" t="s">
        <v>75</v>
      </c>
    </row>
    <row r="8" spans="6:6">
      <c r="F8" s="6" t="s">
        <v>76</v>
      </c>
    </row>
    <row r="9" ht="15.15"/>
    <row r="10" ht="35" customHeight="1" spans="1:21">
      <c r="A10" s="10" t="s">
        <v>0</v>
      </c>
      <c r="B10" s="11"/>
      <c r="C10" s="12"/>
      <c r="D10" s="13" t="s">
        <v>77</v>
      </c>
      <c r="E10" s="14"/>
      <c r="F10" s="14"/>
      <c r="G10" s="14"/>
      <c r="H10" s="14"/>
      <c r="I10" s="116"/>
      <c r="J10" s="13" t="s">
        <v>78</v>
      </c>
      <c r="K10" s="14"/>
      <c r="L10" s="14"/>
      <c r="M10" s="14"/>
      <c r="N10" s="14"/>
      <c r="O10" s="116"/>
      <c r="P10" s="13" t="s">
        <v>79</v>
      </c>
      <c r="Q10" s="14"/>
      <c r="R10" s="14"/>
      <c r="S10" s="14"/>
      <c r="T10" s="14"/>
      <c r="U10" s="116"/>
    </row>
    <row r="11" ht="45" customHeight="1" spans="1:21">
      <c r="A11" s="15"/>
      <c r="B11" s="16"/>
      <c r="C11" s="17"/>
      <c r="D11" s="18" t="s">
        <v>2</v>
      </c>
      <c r="E11" s="19" t="s">
        <v>3</v>
      </c>
      <c r="F11" s="20" t="s">
        <v>4</v>
      </c>
      <c r="G11" s="21" t="s">
        <v>5</v>
      </c>
      <c r="H11" s="22" t="s">
        <v>6</v>
      </c>
      <c r="I11" s="117" t="s">
        <v>7</v>
      </c>
      <c r="J11" s="18" t="s">
        <v>2</v>
      </c>
      <c r="K11" s="19" t="s">
        <v>3</v>
      </c>
      <c r="L11" s="22" t="s">
        <v>4</v>
      </c>
      <c r="M11" s="22" t="s">
        <v>5</v>
      </c>
      <c r="N11" s="22" t="s">
        <v>6</v>
      </c>
      <c r="O11" s="117" t="s">
        <v>7</v>
      </c>
      <c r="P11" s="18" t="s">
        <v>2</v>
      </c>
      <c r="Q11" s="19" t="s">
        <v>3</v>
      </c>
      <c r="R11" s="22" t="s">
        <v>4</v>
      </c>
      <c r="S11" s="22" t="s">
        <v>5</v>
      </c>
      <c r="T11" s="22" t="s">
        <v>6</v>
      </c>
      <c r="U11" s="117" t="s">
        <v>7</v>
      </c>
    </row>
    <row r="12" ht="15" customHeight="1" spans="1:21">
      <c r="A12" s="23" t="s">
        <v>8</v>
      </c>
      <c r="B12" s="24" t="s">
        <v>9</v>
      </c>
      <c r="C12" s="25" t="s">
        <v>10</v>
      </c>
      <c r="D12" s="26">
        <v>1.34</v>
      </c>
      <c r="E12" s="27">
        <v>30</v>
      </c>
      <c r="F12" s="28">
        <f>D12*E12</f>
        <v>40.2</v>
      </c>
      <c r="G12" s="29">
        <f>F12*0.000621371</f>
        <v>0.0249791142</v>
      </c>
      <c r="H12" s="30"/>
      <c r="I12" s="118"/>
      <c r="J12" s="26">
        <v>1.34</v>
      </c>
      <c r="K12" s="27">
        <v>30</v>
      </c>
      <c r="L12" s="28">
        <f>J12*K12</f>
        <v>40.2</v>
      </c>
      <c r="M12" s="29">
        <f>L12*0.000621371</f>
        <v>0.0249791142</v>
      </c>
      <c r="N12" s="30"/>
      <c r="O12" s="118"/>
      <c r="P12" s="26">
        <v>1.34</v>
      </c>
      <c r="Q12" s="27">
        <v>30</v>
      </c>
      <c r="R12" s="28">
        <f>P12*Q12</f>
        <v>40.2</v>
      </c>
      <c r="S12" s="29">
        <f>R12*0.000621371</f>
        <v>0.0249791142</v>
      </c>
      <c r="T12" s="30"/>
      <c r="U12" s="118"/>
    </row>
    <row r="13" ht="15" customHeight="1" spans="1:21">
      <c r="A13" s="23"/>
      <c r="B13" s="24" t="s">
        <v>11</v>
      </c>
      <c r="C13" s="25"/>
      <c r="D13" s="26"/>
      <c r="E13" s="31"/>
      <c r="F13" s="28"/>
      <c r="G13" s="29"/>
      <c r="H13" s="30"/>
      <c r="I13" s="118"/>
      <c r="J13" s="26"/>
      <c r="K13" s="31"/>
      <c r="L13" s="28"/>
      <c r="M13" s="29"/>
      <c r="N13" s="30"/>
      <c r="O13" s="118"/>
      <c r="P13" s="26"/>
      <c r="Q13" s="31"/>
      <c r="R13" s="28"/>
      <c r="S13" s="29"/>
      <c r="T13" s="30"/>
      <c r="U13" s="118"/>
    </row>
    <row r="14" ht="15" customHeight="1" spans="1:21">
      <c r="A14" s="32" t="s">
        <v>12</v>
      </c>
      <c r="B14" s="33" t="s">
        <v>9</v>
      </c>
      <c r="C14" s="34"/>
      <c r="D14" s="35"/>
      <c r="E14" s="36">
        <v>12</v>
      </c>
      <c r="F14" s="37"/>
      <c r="G14" s="38"/>
      <c r="H14" s="39"/>
      <c r="I14" s="119"/>
      <c r="J14" s="35"/>
      <c r="K14" s="36">
        <v>12</v>
      </c>
      <c r="L14" s="37"/>
      <c r="M14" s="38"/>
      <c r="N14" s="39"/>
      <c r="O14" s="119"/>
      <c r="P14" s="35"/>
      <c r="Q14" s="36">
        <v>12</v>
      </c>
      <c r="R14" s="37"/>
      <c r="S14" s="38"/>
      <c r="T14" s="39"/>
      <c r="U14" s="119"/>
    </row>
    <row r="15" ht="15" customHeight="1" spans="1:21">
      <c r="A15" s="32"/>
      <c r="B15" s="33" t="s">
        <v>11</v>
      </c>
      <c r="C15" s="34" t="s">
        <v>13</v>
      </c>
      <c r="D15" s="35">
        <v>2.54</v>
      </c>
      <c r="E15" s="40"/>
      <c r="F15" s="37"/>
      <c r="G15" s="38"/>
      <c r="H15" s="39">
        <f>D15*E14*3.28084</f>
        <v>100.0000032</v>
      </c>
      <c r="I15" s="119">
        <f>H15</f>
        <v>100.0000032</v>
      </c>
      <c r="J15" s="35">
        <v>2.54</v>
      </c>
      <c r="K15" s="40"/>
      <c r="L15" s="37"/>
      <c r="M15" s="38"/>
      <c r="N15" s="39">
        <f>J15*K14*3.28084</f>
        <v>100.0000032</v>
      </c>
      <c r="O15" s="119">
        <f>N15</f>
        <v>100.0000032</v>
      </c>
      <c r="P15" s="35">
        <v>2.54</v>
      </c>
      <c r="Q15" s="40"/>
      <c r="R15" s="37"/>
      <c r="S15" s="38"/>
      <c r="T15" s="39">
        <f>P15*Q14*3.28084</f>
        <v>100.0000032</v>
      </c>
      <c r="U15" s="119">
        <f>T15</f>
        <v>100.0000032</v>
      </c>
    </row>
    <row r="16" ht="15" customHeight="1" spans="1:21">
      <c r="A16" s="23" t="s">
        <v>14</v>
      </c>
      <c r="B16" s="24" t="s">
        <v>9</v>
      </c>
      <c r="C16" s="25" t="s">
        <v>15</v>
      </c>
      <c r="D16" s="26">
        <v>24.4</v>
      </c>
      <c r="E16" s="31">
        <v>30</v>
      </c>
      <c r="F16" s="28">
        <f t="shared" ref="F16:F20" si="0">D16*E16</f>
        <v>732</v>
      </c>
      <c r="G16" s="29">
        <f t="shared" ref="G16:G20" si="1">F16*0.000621371</f>
        <v>0.454843572</v>
      </c>
      <c r="H16" s="30"/>
      <c r="I16" s="118"/>
      <c r="J16" s="26">
        <v>24.4</v>
      </c>
      <c r="K16" s="31">
        <v>30</v>
      </c>
      <c r="L16" s="28">
        <f t="shared" ref="L16:L20" si="2">J16*K16</f>
        <v>732</v>
      </c>
      <c r="M16" s="29">
        <f t="shared" ref="M16:M20" si="3">L16*0.000621371</f>
        <v>0.454843572</v>
      </c>
      <c r="N16" s="30"/>
      <c r="O16" s="118"/>
      <c r="P16" s="26">
        <v>24.4</v>
      </c>
      <c r="Q16" s="31">
        <v>30</v>
      </c>
      <c r="R16" s="28">
        <f t="shared" ref="R16:R20" si="4">P16*Q16</f>
        <v>732</v>
      </c>
      <c r="S16" s="29">
        <f t="shared" ref="S16:S20" si="5">R16*0.000621371</f>
        <v>0.454843572</v>
      </c>
      <c r="T16" s="30"/>
      <c r="U16" s="118"/>
    </row>
    <row r="17" ht="15" customHeight="1" spans="1:21">
      <c r="A17" s="23"/>
      <c r="B17" s="24" t="s">
        <v>11</v>
      </c>
      <c r="C17" s="25" t="s">
        <v>16</v>
      </c>
      <c r="D17" s="26">
        <v>5.1</v>
      </c>
      <c r="E17" s="31"/>
      <c r="F17" s="28"/>
      <c r="G17" s="29"/>
      <c r="H17" s="30">
        <f>D17*E16*3.28084</f>
        <v>501.96852</v>
      </c>
      <c r="I17" s="118">
        <f>I15+H17</f>
        <v>601.9685232</v>
      </c>
      <c r="J17" s="26">
        <v>5.1</v>
      </c>
      <c r="K17" s="31"/>
      <c r="L17" s="28"/>
      <c r="M17" s="29"/>
      <c r="N17" s="30">
        <f>J17*K16*3.28084</f>
        <v>501.96852</v>
      </c>
      <c r="O17" s="118">
        <f>O15+N17</f>
        <v>601.9685232</v>
      </c>
      <c r="P17" s="26">
        <v>5.1</v>
      </c>
      <c r="Q17" s="31"/>
      <c r="R17" s="28"/>
      <c r="S17" s="29"/>
      <c r="T17" s="30">
        <f>P17*Q16*3.28084</f>
        <v>501.96852</v>
      </c>
      <c r="U17" s="118">
        <f>U15+T17</f>
        <v>601.9685232</v>
      </c>
    </row>
    <row r="18" ht="15" customHeight="1" spans="1:21">
      <c r="A18" s="32" t="s">
        <v>17</v>
      </c>
      <c r="B18" s="33" t="s">
        <v>9</v>
      </c>
      <c r="C18" s="34" t="s">
        <v>18</v>
      </c>
      <c r="D18" s="35">
        <v>48.7</v>
      </c>
      <c r="E18" s="41">
        <v>18</v>
      </c>
      <c r="F18" s="37">
        <f t="shared" si="0"/>
        <v>876.6</v>
      </c>
      <c r="G18" s="38">
        <f t="shared" si="1"/>
        <v>0.5446938186</v>
      </c>
      <c r="H18" s="39"/>
      <c r="I18" s="119"/>
      <c r="J18" s="35">
        <v>48.7</v>
      </c>
      <c r="K18" s="41">
        <v>18</v>
      </c>
      <c r="L18" s="37">
        <f t="shared" si="2"/>
        <v>876.6</v>
      </c>
      <c r="M18" s="38">
        <f t="shared" si="3"/>
        <v>0.5446938186</v>
      </c>
      <c r="N18" s="39"/>
      <c r="O18" s="119"/>
      <c r="P18" s="35">
        <v>48.7</v>
      </c>
      <c r="Q18" s="41">
        <v>18</v>
      </c>
      <c r="R18" s="37">
        <f t="shared" si="4"/>
        <v>876.6</v>
      </c>
      <c r="S18" s="38">
        <f t="shared" si="5"/>
        <v>0.5446938186</v>
      </c>
      <c r="T18" s="39"/>
      <c r="U18" s="119"/>
    </row>
    <row r="19" ht="15" customHeight="1" spans="1:21">
      <c r="A19" s="32"/>
      <c r="B19" s="33" t="s">
        <v>11</v>
      </c>
      <c r="C19" s="34"/>
      <c r="D19" s="35"/>
      <c r="E19" s="40"/>
      <c r="F19" s="37"/>
      <c r="G19" s="38"/>
      <c r="H19" s="39"/>
      <c r="I19" s="119"/>
      <c r="J19" s="35"/>
      <c r="K19" s="40"/>
      <c r="L19" s="37"/>
      <c r="M19" s="38"/>
      <c r="N19" s="39"/>
      <c r="O19" s="119"/>
      <c r="P19" s="35"/>
      <c r="Q19" s="40"/>
      <c r="R19" s="37"/>
      <c r="S19" s="38"/>
      <c r="T19" s="39"/>
      <c r="U19" s="119"/>
    </row>
    <row r="20" ht="15" customHeight="1" spans="1:21">
      <c r="A20" s="23" t="s">
        <v>19</v>
      </c>
      <c r="B20" s="24" t="s">
        <v>9</v>
      </c>
      <c r="C20" s="25" t="s">
        <v>20</v>
      </c>
      <c r="D20" s="26">
        <v>57.9</v>
      </c>
      <c r="E20" s="31">
        <v>144</v>
      </c>
      <c r="F20" s="28">
        <f t="shared" si="0"/>
        <v>8337.6</v>
      </c>
      <c r="G20" s="29">
        <f t="shared" si="1"/>
        <v>5.1807428496</v>
      </c>
      <c r="H20" s="30"/>
      <c r="I20" s="118"/>
      <c r="J20" s="26">
        <v>57.9</v>
      </c>
      <c r="K20" s="31">
        <v>144</v>
      </c>
      <c r="L20" s="28">
        <f t="shared" si="2"/>
        <v>8337.6</v>
      </c>
      <c r="M20" s="29">
        <f t="shared" si="3"/>
        <v>5.1807428496</v>
      </c>
      <c r="N20" s="30"/>
      <c r="O20" s="118"/>
      <c r="P20" s="26">
        <v>57.9</v>
      </c>
      <c r="Q20" s="31">
        <v>144</v>
      </c>
      <c r="R20" s="28">
        <f t="shared" si="4"/>
        <v>8337.6</v>
      </c>
      <c r="S20" s="29">
        <f t="shared" si="5"/>
        <v>5.1807428496</v>
      </c>
      <c r="T20" s="30"/>
      <c r="U20" s="118"/>
    </row>
    <row r="21" ht="15" customHeight="1" spans="1:21">
      <c r="A21" s="23"/>
      <c r="B21" s="24" t="s">
        <v>11</v>
      </c>
      <c r="C21" s="25" t="s">
        <v>21</v>
      </c>
      <c r="D21" s="26">
        <v>5.1</v>
      </c>
      <c r="E21" s="31"/>
      <c r="F21" s="28"/>
      <c r="G21" s="29"/>
      <c r="H21" s="30">
        <f>D21*E20*3.28084</f>
        <v>2409.448896</v>
      </c>
      <c r="I21" s="118">
        <f>I17+H21</f>
        <v>3011.4174192</v>
      </c>
      <c r="J21" s="26">
        <v>5.1</v>
      </c>
      <c r="K21" s="31"/>
      <c r="L21" s="28"/>
      <c r="M21" s="29"/>
      <c r="N21" s="30">
        <f>J21*K20*3.28084</f>
        <v>2409.448896</v>
      </c>
      <c r="O21" s="118">
        <f>O17+N21</f>
        <v>3011.4174192</v>
      </c>
      <c r="P21" s="26">
        <v>5.1</v>
      </c>
      <c r="Q21" s="31"/>
      <c r="R21" s="28"/>
      <c r="S21" s="29"/>
      <c r="T21" s="30">
        <f>P21*Q20*3.28084</f>
        <v>2409.448896</v>
      </c>
      <c r="U21" s="118">
        <f>U17+T21</f>
        <v>3011.4174192</v>
      </c>
    </row>
    <row r="22" ht="15" customHeight="1" spans="1:21">
      <c r="A22" s="42" t="s">
        <v>22</v>
      </c>
      <c r="B22" s="43" t="s">
        <v>9</v>
      </c>
      <c r="C22" s="44" t="s">
        <v>23</v>
      </c>
      <c r="D22" s="45">
        <v>67.1</v>
      </c>
      <c r="E22" s="46">
        <f>D58</f>
        <v>423.067892644904</v>
      </c>
      <c r="F22" s="47">
        <f t="shared" ref="F22:F26" si="6">D22*E22</f>
        <v>28387.8555964731</v>
      </c>
      <c r="G22" s="48">
        <f>F22*0.000621371</f>
        <v>17.6393902198361</v>
      </c>
      <c r="H22" s="49"/>
      <c r="I22" s="120"/>
      <c r="J22" s="45">
        <v>67.1</v>
      </c>
      <c r="K22" s="46">
        <f>D59</f>
        <v>782.830932883354</v>
      </c>
      <c r="L22" s="47">
        <f t="shared" ref="L22:L26" si="7">J22*K22</f>
        <v>52527.9555964731</v>
      </c>
      <c r="M22" s="48">
        <f>L22*0.000621371</f>
        <v>32.6393482969361</v>
      </c>
      <c r="N22" s="49"/>
      <c r="O22" s="120"/>
      <c r="P22" s="45">
        <v>67.1</v>
      </c>
      <c r="Q22" s="46">
        <f>D60</f>
        <v>1142.5939731218</v>
      </c>
      <c r="R22" s="47">
        <f t="shared" ref="R22:R26" si="8">P22*Q22</f>
        <v>76668.0555964731</v>
      </c>
      <c r="S22" s="48">
        <f>R22*0.000621371</f>
        <v>47.6393063740361</v>
      </c>
      <c r="T22" s="49"/>
      <c r="U22" s="120"/>
    </row>
    <row r="23" ht="15" customHeight="1" spans="1:21">
      <c r="A23" s="42"/>
      <c r="B23" s="43" t="s">
        <v>11</v>
      </c>
      <c r="C23" s="44"/>
      <c r="D23" s="45"/>
      <c r="E23" s="50"/>
      <c r="F23" s="47"/>
      <c r="G23" s="48"/>
      <c r="H23" s="49"/>
      <c r="I23" s="120"/>
      <c r="J23" s="45"/>
      <c r="K23" s="50"/>
      <c r="L23" s="47"/>
      <c r="M23" s="48"/>
      <c r="N23" s="49"/>
      <c r="O23" s="120"/>
      <c r="P23" s="45"/>
      <c r="Q23" s="50"/>
      <c r="R23" s="47"/>
      <c r="S23" s="48"/>
      <c r="T23" s="49"/>
      <c r="U23" s="120"/>
    </row>
    <row r="24" ht="15" customHeight="1" spans="1:21">
      <c r="A24" s="23" t="s">
        <v>24</v>
      </c>
      <c r="B24" s="24" t="s">
        <v>9</v>
      </c>
      <c r="C24" s="25" t="s">
        <v>25</v>
      </c>
      <c r="D24" s="26">
        <v>57.9</v>
      </c>
      <c r="E24" s="31">
        <v>144</v>
      </c>
      <c r="F24" s="28">
        <f t="shared" si="6"/>
        <v>8337.6</v>
      </c>
      <c r="G24" s="29">
        <f>F24*0.000621371</f>
        <v>5.1807428496</v>
      </c>
      <c r="H24" s="30"/>
      <c r="I24" s="118"/>
      <c r="J24" s="26">
        <v>57.9</v>
      </c>
      <c r="K24" s="31">
        <v>144</v>
      </c>
      <c r="L24" s="28">
        <f t="shared" si="7"/>
        <v>8337.6</v>
      </c>
      <c r="M24" s="29">
        <f>L24*0.000621371</f>
        <v>5.1807428496</v>
      </c>
      <c r="N24" s="30"/>
      <c r="O24" s="118"/>
      <c r="P24" s="26">
        <v>57.9</v>
      </c>
      <c r="Q24" s="31">
        <v>144</v>
      </c>
      <c r="R24" s="28">
        <f t="shared" si="8"/>
        <v>8337.6</v>
      </c>
      <c r="S24" s="29">
        <f>R24*0.000621371</f>
        <v>5.1807428496</v>
      </c>
      <c r="T24" s="30"/>
      <c r="U24" s="118"/>
    </row>
    <row r="25" ht="15" customHeight="1" spans="1:21">
      <c r="A25" s="23"/>
      <c r="B25" s="24" t="s">
        <v>11</v>
      </c>
      <c r="C25" s="25" t="s">
        <v>26</v>
      </c>
      <c r="D25" s="26">
        <v>5.1</v>
      </c>
      <c r="E25" s="31"/>
      <c r="F25" s="28"/>
      <c r="G25" s="29"/>
      <c r="H25" s="30">
        <f>D25*E24*3.28084</f>
        <v>2409.448896</v>
      </c>
      <c r="I25" s="118">
        <f>I21-H25</f>
        <v>601.9685232</v>
      </c>
      <c r="J25" s="26">
        <v>5.1</v>
      </c>
      <c r="K25" s="31"/>
      <c r="L25" s="28"/>
      <c r="M25" s="29"/>
      <c r="N25" s="30">
        <f>J25*K24*3.28084</f>
        <v>2409.448896</v>
      </c>
      <c r="O25" s="118">
        <f>O21-N25</f>
        <v>601.9685232</v>
      </c>
      <c r="P25" s="26">
        <v>5.1</v>
      </c>
      <c r="Q25" s="31"/>
      <c r="R25" s="28"/>
      <c r="S25" s="29"/>
      <c r="T25" s="30">
        <f>P25*Q24*3.28084</f>
        <v>2409.448896</v>
      </c>
      <c r="U25" s="118">
        <f>U21-T25</f>
        <v>601.9685232</v>
      </c>
    </row>
    <row r="26" ht="15" customHeight="1" spans="1:21">
      <c r="A26" s="32" t="s">
        <v>28</v>
      </c>
      <c r="B26" s="33" t="s">
        <v>9</v>
      </c>
      <c r="C26" s="34" t="s">
        <v>29</v>
      </c>
      <c r="D26" s="35">
        <v>48.7</v>
      </c>
      <c r="E26" s="41">
        <v>18</v>
      </c>
      <c r="F26" s="37">
        <f t="shared" si="6"/>
        <v>876.6</v>
      </c>
      <c r="G26" s="38">
        <f>(F26*0.000621371)</f>
        <v>0.5446938186</v>
      </c>
      <c r="H26" s="39"/>
      <c r="I26" s="119"/>
      <c r="J26" s="35">
        <v>48.7</v>
      </c>
      <c r="K26" s="41">
        <v>18</v>
      </c>
      <c r="L26" s="37">
        <f t="shared" si="7"/>
        <v>876.6</v>
      </c>
      <c r="M26" s="38">
        <f>(L26*0.000621371)</f>
        <v>0.5446938186</v>
      </c>
      <c r="N26" s="39"/>
      <c r="O26" s="119"/>
      <c r="P26" s="35">
        <v>48.7</v>
      </c>
      <c r="Q26" s="41">
        <v>18</v>
      </c>
      <c r="R26" s="37">
        <f t="shared" si="8"/>
        <v>876.6</v>
      </c>
      <c r="S26" s="38">
        <f>(R26*0.000621371)</f>
        <v>0.5446938186</v>
      </c>
      <c r="T26" s="39"/>
      <c r="U26" s="119"/>
    </row>
    <row r="27" ht="15" customHeight="1" spans="1:21">
      <c r="A27" s="32"/>
      <c r="B27" s="33" t="s">
        <v>11</v>
      </c>
      <c r="C27" s="34"/>
      <c r="D27" s="35"/>
      <c r="E27" s="40"/>
      <c r="F27" s="37"/>
      <c r="G27" s="38"/>
      <c r="H27" s="39"/>
      <c r="I27" s="119"/>
      <c r="J27" s="35"/>
      <c r="K27" s="40"/>
      <c r="L27" s="37"/>
      <c r="M27" s="38"/>
      <c r="N27" s="39"/>
      <c r="O27" s="119"/>
      <c r="P27" s="35"/>
      <c r="Q27" s="40"/>
      <c r="R27" s="37"/>
      <c r="S27" s="38"/>
      <c r="T27" s="39"/>
      <c r="U27" s="119"/>
    </row>
    <row r="28" ht="15" customHeight="1" spans="1:21">
      <c r="A28" s="23" t="s">
        <v>30</v>
      </c>
      <c r="B28" s="24" t="s">
        <v>9</v>
      </c>
      <c r="C28" s="25" t="s">
        <v>31</v>
      </c>
      <c r="D28" s="26">
        <v>24.4</v>
      </c>
      <c r="E28" s="31">
        <v>30</v>
      </c>
      <c r="F28" s="28">
        <f>D28*E28</f>
        <v>732</v>
      </c>
      <c r="G28" s="29">
        <f>F28*0.000621371</f>
        <v>0.454843572</v>
      </c>
      <c r="H28" s="30"/>
      <c r="I28" s="118"/>
      <c r="J28" s="26">
        <v>24.4</v>
      </c>
      <c r="K28" s="31">
        <v>30</v>
      </c>
      <c r="L28" s="28">
        <f>J28*K28</f>
        <v>732</v>
      </c>
      <c r="M28" s="29">
        <f>L28*0.000621371</f>
        <v>0.454843572</v>
      </c>
      <c r="N28" s="30"/>
      <c r="O28" s="118"/>
      <c r="P28" s="26">
        <v>24.4</v>
      </c>
      <c r="Q28" s="31">
        <v>30</v>
      </c>
      <c r="R28" s="28">
        <f>P28*Q28</f>
        <v>732</v>
      </c>
      <c r="S28" s="29">
        <f>R28*0.000621371</f>
        <v>0.454843572</v>
      </c>
      <c r="T28" s="30"/>
      <c r="U28" s="118"/>
    </row>
    <row r="29" ht="15" customHeight="1" spans="1:21">
      <c r="A29" s="23"/>
      <c r="B29" s="24" t="s">
        <v>11</v>
      </c>
      <c r="C29" s="25" t="s">
        <v>32</v>
      </c>
      <c r="D29" s="26">
        <v>5.1</v>
      </c>
      <c r="E29" s="31"/>
      <c r="F29" s="28"/>
      <c r="G29" s="29"/>
      <c r="H29" s="30">
        <f>D29*E28*3.28084</f>
        <v>501.96852</v>
      </c>
      <c r="I29" s="118">
        <f>I25-H29</f>
        <v>100.0000032</v>
      </c>
      <c r="J29" s="26">
        <v>5.1</v>
      </c>
      <c r="K29" s="31"/>
      <c r="L29" s="28"/>
      <c r="M29" s="29"/>
      <c r="N29" s="30">
        <f>J29*K28*3.28084</f>
        <v>501.96852</v>
      </c>
      <c r="O29" s="118">
        <f>O25-N29</f>
        <v>100.0000032</v>
      </c>
      <c r="P29" s="26">
        <v>5.1</v>
      </c>
      <c r="Q29" s="31"/>
      <c r="R29" s="28"/>
      <c r="S29" s="29"/>
      <c r="T29" s="30">
        <f>P29*Q28*3.28084</f>
        <v>501.96852</v>
      </c>
      <c r="U29" s="118">
        <f>U25-T29</f>
        <v>100.0000032</v>
      </c>
    </row>
    <row r="30" ht="15" customHeight="1" spans="1:21">
      <c r="A30" s="32" t="s">
        <v>34</v>
      </c>
      <c r="B30" s="33" t="s">
        <v>9</v>
      </c>
      <c r="C30" s="34"/>
      <c r="D30" s="35"/>
      <c r="E30" s="40">
        <v>12</v>
      </c>
      <c r="F30" s="37"/>
      <c r="G30" s="38"/>
      <c r="H30" s="39"/>
      <c r="I30" s="119"/>
      <c r="J30" s="35"/>
      <c r="K30" s="40">
        <v>12</v>
      </c>
      <c r="L30" s="37"/>
      <c r="M30" s="38"/>
      <c r="N30" s="39"/>
      <c r="O30" s="119"/>
      <c r="P30" s="35"/>
      <c r="Q30" s="40">
        <v>12</v>
      </c>
      <c r="R30" s="37"/>
      <c r="S30" s="38"/>
      <c r="T30" s="39"/>
      <c r="U30" s="119"/>
    </row>
    <row r="31" ht="15" customHeight="1" spans="1:21">
      <c r="A31" s="32"/>
      <c r="B31" s="33" t="s">
        <v>11</v>
      </c>
      <c r="C31" s="34" t="s">
        <v>35</v>
      </c>
      <c r="D31" s="35">
        <v>2.54</v>
      </c>
      <c r="E31" s="40"/>
      <c r="F31" s="37"/>
      <c r="G31" s="38"/>
      <c r="H31" s="39">
        <f>D31*E30*3.28084</f>
        <v>100.0000032</v>
      </c>
      <c r="I31" s="119">
        <f>I29-H31</f>
        <v>1.56319401867222e-13</v>
      </c>
      <c r="J31" s="35">
        <v>2.54</v>
      </c>
      <c r="K31" s="40"/>
      <c r="L31" s="37"/>
      <c r="M31" s="38"/>
      <c r="N31" s="39">
        <f>J31*K30*3.28084</f>
        <v>100.0000032</v>
      </c>
      <c r="O31" s="119">
        <f>O29-N31</f>
        <v>1.56319401867222e-13</v>
      </c>
      <c r="P31" s="35">
        <v>2.54</v>
      </c>
      <c r="Q31" s="40"/>
      <c r="R31" s="37"/>
      <c r="S31" s="38"/>
      <c r="T31" s="39">
        <f>P31*Q30*3.28084</f>
        <v>100.0000032</v>
      </c>
      <c r="U31" s="119">
        <f>U29-T31</f>
        <v>1.56319401867222e-13</v>
      </c>
    </row>
    <row r="32" ht="15" customHeight="1" spans="1:21">
      <c r="A32" s="23" t="s">
        <v>37</v>
      </c>
      <c r="B32" s="24" t="s">
        <v>9</v>
      </c>
      <c r="C32" s="25" t="s">
        <v>38</v>
      </c>
      <c r="D32" s="26">
        <v>1.34</v>
      </c>
      <c r="E32" s="27">
        <v>30</v>
      </c>
      <c r="F32" s="28">
        <f>D32*E32</f>
        <v>40.2</v>
      </c>
      <c r="G32" s="29">
        <f>F32*0.000621371</f>
        <v>0.0249791142</v>
      </c>
      <c r="H32" s="30"/>
      <c r="I32" s="118"/>
      <c r="J32" s="26">
        <v>1.34</v>
      </c>
      <c r="K32" s="27">
        <v>30</v>
      </c>
      <c r="L32" s="28">
        <f>J32*K32</f>
        <v>40.2</v>
      </c>
      <c r="M32" s="29">
        <f>L32*0.000621371</f>
        <v>0.0249791142</v>
      </c>
      <c r="N32" s="30"/>
      <c r="O32" s="118"/>
      <c r="P32" s="26">
        <v>1.34</v>
      </c>
      <c r="Q32" s="27">
        <v>30</v>
      </c>
      <c r="R32" s="28">
        <f>P32*Q32</f>
        <v>40.2</v>
      </c>
      <c r="S32" s="29">
        <f>R32*0.000621371</f>
        <v>0.0249791142</v>
      </c>
      <c r="T32" s="30"/>
      <c r="U32" s="118"/>
    </row>
    <row r="33" ht="15" customHeight="1" spans="1:21">
      <c r="A33" s="23"/>
      <c r="B33" s="24" t="s">
        <v>11</v>
      </c>
      <c r="C33" s="25"/>
      <c r="D33" s="26"/>
      <c r="E33" s="31"/>
      <c r="F33" s="28"/>
      <c r="G33" s="29"/>
      <c r="H33" s="51"/>
      <c r="I33" s="121"/>
      <c r="J33" s="26"/>
      <c r="K33" s="31"/>
      <c r="L33" s="28"/>
      <c r="M33" s="29"/>
      <c r="N33" s="51"/>
      <c r="O33" s="121"/>
      <c r="P33" s="26"/>
      <c r="Q33" s="31"/>
      <c r="R33" s="28"/>
      <c r="S33" s="29"/>
      <c r="T33" s="51"/>
      <c r="U33" s="121"/>
    </row>
    <row r="34" ht="15" customHeight="1" spans="1:21">
      <c r="A34" s="52" t="s">
        <v>39</v>
      </c>
      <c r="B34" s="53" t="s">
        <v>9</v>
      </c>
      <c r="C34" s="54"/>
      <c r="D34" s="55"/>
      <c r="E34" s="56">
        <v>6</v>
      </c>
      <c r="F34" s="57"/>
      <c r="G34" s="58"/>
      <c r="H34" s="59"/>
      <c r="I34" s="122"/>
      <c r="J34" s="123"/>
      <c r="K34" s="124">
        <v>12</v>
      </c>
      <c r="L34" s="125"/>
      <c r="M34" s="126"/>
      <c r="N34" s="127"/>
      <c r="O34" s="128"/>
      <c r="P34" s="129"/>
      <c r="Q34" s="164"/>
      <c r="R34" s="165"/>
      <c r="S34" s="166"/>
      <c r="T34" s="164"/>
      <c r="U34" s="167"/>
    </row>
    <row r="35" ht="15" customHeight="1" spans="1:21">
      <c r="A35" s="32"/>
      <c r="B35" s="33" t="s">
        <v>11</v>
      </c>
      <c r="C35" s="34" t="s">
        <v>40</v>
      </c>
      <c r="D35" s="60">
        <v>2.54</v>
      </c>
      <c r="E35" s="61"/>
      <c r="F35" s="62"/>
      <c r="G35" s="63"/>
      <c r="H35" s="64">
        <f t="shared" ref="H35:H39" si="9">D35*E34*3.28084</f>
        <v>50.0000016</v>
      </c>
      <c r="I35" s="130">
        <f>H35</f>
        <v>50.0000016</v>
      </c>
      <c r="J35" s="35">
        <v>2.54</v>
      </c>
      <c r="K35" s="131"/>
      <c r="L35" s="37"/>
      <c r="M35" s="38"/>
      <c r="N35" s="132">
        <f t="shared" ref="N35:N39" si="10">J35*K34*3.28084</f>
        <v>100.0000032</v>
      </c>
      <c r="O35" s="133">
        <f>N35</f>
        <v>100.0000032</v>
      </c>
      <c r="P35" s="134"/>
      <c r="Q35" s="168"/>
      <c r="R35" s="169"/>
      <c r="S35" s="170"/>
      <c r="T35" s="168"/>
      <c r="U35" s="171"/>
    </row>
    <row r="36" ht="15" customHeight="1" spans="1:21">
      <c r="A36" s="23" t="s">
        <v>41</v>
      </c>
      <c r="B36" s="24" t="s">
        <v>9</v>
      </c>
      <c r="C36" s="25" t="s">
        <v>42</v>
      </c>
      <c r="D36" s="65">
        <v>24.4</v>
      </c>
      <c r="E36" s="66">
        <v>15</v>
      </c>
      <c r="F36" s="67">
        <f t="shared" ref="F36:F40" si="11">D36*E36</f>
        <v>366</v>
      </c>
      <c r="G36" s="68">
        <f t="shared" ref="G36:G40" si="12">F36*0.000621371</f>
        <v>0.227421786</v>
      </c>
      <c r="H36" s="69"/>
      <c r="I36" s="135"/>
      <c r="J36" s="26">
        <v>24.4</v>
      </c>
      <c r="K36" s="136">
        <v>30</v>
      </c>
      <c r="L36" s="28">
        <f t="shared" ref="L36:L40" si="13">J36*K36</f>
        <v>732</v>
      </c>
      <c r="M36" s="29">
        <f t="shared" ref="M36:M40" si="14">L36*0.000621371</f>
        <v>0.454843572</v>
      </c>
      <c r="N36" s="30"/>
      <c r="O36" s="118"/>
      <c r="P36" s="137"/>
      <c r="Q36" s="172"/>
      <c r="R36" s="173"/>
      <c r="S36" s="174"/>
      <c r="T36" s="172"/>
      <c r="U36" s="175"/>
    </row>
    <row r="37" ht="15" customHeight="1" spans="1:21">
      <c r="A37" s="23"/>
      <c r="B37" s="24" t="s">
        <v>11</v>
      </c>
      <c r="C37" s="25" t="s">
        <v>43</v>
      </c>
      <c r="D37" s="65">
        <v>5.1</v>
      </c>
      <c r="E37" s="66"/>
      <c r="F37" s="67"/>
      <c r="G37" s="67"/>
      <c r="H37" s="69">
        <f t="shared" si="9"/>
        <v>250.98426</v>
      </c>
      <c r="I37" s="135">
        <f>I35+H37</f>
        <v>300.9842616</v>
      </c>
      <c r="J37" s="26">
        <v>5.1</v>
      </c>
      <c r="K37" s="138"/>
      <c r="L37" s="28"/>
      <c r="M37" s="28"/>
      <c r="N37" s="30">
        <f t="shared" si="10"/>
        <v>501.96852</v>
      </c>
      <c r="O37" s="118">
        <f>O35+N37</f>
        <v>601.9685232</v>
      </c>
      <c r="P37" s="137"/>
      <c r="Q37" s="172"/>
      <c r="R37" s="173"/>
      <c r="S37" s="174"/>
      <c r="T37" s="172"/>
      <c r="U37" s="175"/>
    </row>
    <row r="38" ht="15" customHeight="1" spans="1:21">
      <c r="A38" s="32" t="s">
        <v>44</v>
      </c>
      <c r="B38" s="33" t="s">
        <v>9</v>
      </c>
      <c r="C38" s="34" t="s">
        <v>45</v>
      </c>
      <c r="D38" s="60">
        <v>57.9</v>
      </c>
      <c r="E38" s="61">
        <v>12</v>
      </c>
      <c r="F38" s="62">
        <f t="shared" si="11"/>
        <v>694.8</v>
      </c>
      <c r="G38" s="63">
        <f t="shared" si="12"/>
        <v>0.4317285708</v>
      </c>
      <c r="H38" s="64"/>
      <c r="I38" s="130"/>
      <c r="J38" s="35">
        <v>57.9</v>
      </c>
      <c r="K38" s="136">
        <v>24</v>
      </c>
      <c r="L38" s="37">
        <f t="shared" si="13"/>
        <v>1389.6</v>
      </c>
      <c r="M38" s="38">
        <f t="shared" si="14"/>
        <v>0.8634571416</v>
      </c>
      <c r="N38" s="132"/>
      <c r="O38" s="133"/>
      <c r="P38" s="134"/>
      <c r="Q38" s="168"/>
      <c r="R38" s="169"/>
      <c r="S38" s="170"/>
      <c r="T38" s="168"/>
      <c r="U38" s="171"/>
    </row>
    <row r="39" ht="15" customHeight="1" spans="1:21">
      <c r="A39" s="32"/>
      <c r="B39" s="33" t="s">
        <v>11</v>
      </c>
      <c r="C39" s="34" t="s">
        <v>46</v>
      </c>
      <c r="D39" s="60">
        <v>5.1</v>
      </c>
      <c r="E39" s="61"/>
      <c r="F39" s="62"/>
      <c r="G39" s="63"/>
      <c r="H39" s="64">
        <f t="shared" si="9"/>
        <v>200.787408</v>
      </c>
      <c r="I39" s="130">
        <f>I37+H39</f>
        <v>501.7716696</v>
      </c>
      <c r="J39" s="35">
        <v>5.1</v>
      </c>
      <c r="K39" s="131"/>
      <c r="L39" s="37"/>
      <c r="M39" s="38"/>
      <c r="N39" s="132">
        <f t="shared" si="10"/>
        <v>401.574816</v>
      </c>
      <c r="O39" s="133">
        <f>O37+N39</f>
        <v>1003.5433392</v>
      </c>
      <c r="P39" s="134"/>
      <c r="Q39" s="168"/>
      <c r="R39" s="169"/>
      <c r="S39" s="170"/>
      <c r="T39" s="168"/>
      <c r="U39" s="171"/>
    </row>
    <row r="40" ht="15" customHeight="1" spans="1:21">
      <c r="A40" s="42" t="s">
        <v>47</v>
      </c>
      <c r="B40" s="43" t="s">
        <v>9</v>
      </c>
      <c r="C40" s="44" t="s">
        <v>48</v>
      </c>
      <c r="D40" s="70">
        <v>67.1</v>
      </c>
      <c r="E40" s="71">
        <f>D61</f>
        <v>112.28682458383</v>
      </c>
      <c r="F40" s="72">
        <f t="shared" si="11"/>
        <v>7534.44592957497</v>
      </c>
      <c r="G40" s="72">
        <f t="shared" si="12"/>
        <v>4.68168620170593</v>
      </c>
      <c r="H40" s="73"/>
      <c r="I40" s="139"/>
      <c r="J40" s="45">
        <v>67.1</v>
      </c>
      <c r="K40" s="136">
        <f>D62</f>
        <v>80.6684330722795</v>
      </c>
      <c r="L40" s="47">
        <f t="shared" si="13"/>
        <v>5412.85185914995</v>
      </c>
      <c r="M40" s="47">
        <f t="shared" si="14"/>
        <v>3.36338917257186</v>
      </c>
      <c r="N40" s="140"/>
      <c r="O40" s="141"/>
      <c r="P40" s="142"/>
      <c r="Q40" s="176"/>
      <c r="R40" s="177"/>
      <c r="S40" s="178"/>
      <c r="T40" s="176"/>
      <c r="U40" s="179"/>
    </row>
    <row r="41" ht="15" customHeight="1" spans="1:21">
      <c r="A41" s="42"/>
      <c r="B41" s="43" t="s">
        <v>11</v>
      </c>
      <c r="C41" s="44"/>
      <c r="D41" s="70"/>
      <c r="E41" s="71"/>
      <c r="F41" s="72"/>
      <c r="G41" s="72"/>
      <c r="H41" s="73"/>
      <c r="I41" s="139"/>
      <c r="J41" s="45"/>
      <c r="K41" s="143"/>
      <c r="L41" s="47"/>
      <c r="M41" s="47"/>
      <c r="N41" s="140"/>
      <c r="O41" s="141"/>
      <c r="P41" s="142"/>
      <c r="Q41" s="176"/>
      <c r="R41" s="177"/>
      <c r="S41" s="178"/>
      <c r="T41" s="176"/>
      <c r="U41" s="179"/>
    </row>
    <row r="42" ht="15" customHeight="1" spans="1:21">
      <c r="A42" s="32" t="s">
        <v>49</v>
      </c>
      <c r="B42" s="33" t="s">
        <v>9</v>
      </c>
      <c r="C42" s="34" t="s">
        <v>50</v>
      </c>
      <c r="D42" s="60">
        <v>57.9</v>
      </c>
      <c r="E42" s="61">
        <v>12</v>
      </c>
      <c r="F42" s="62">
        <f>D42*E42</f>
        <v>694.8</v>
      </c>
      <c r="G42" s="63">
        <f>F42*0.000621371</f>
        <v>0.4317285708</v>
      </c>
      <c r="H42" s="64"/>
      <c r="I42" s="130"/>
      <c r="J42" s="35">
        <v>57.9</v>
      </c>
      <c r="K42" s="136">
        <v>24</v>
      </c>
      <c r="L42" s="37">
        <f>J42*K42</f>
        <v>1389.6</v>
      </c>
      <c r="M42" s="38">
        <f>L42*0.000621371</f>
        <v>0.8634571416</v>
      </c>
      <c r="N42" s="132"/>
      <c r="O42" s="133"/>
      <c r="P42" s="134"/>
      <c r="Q42" s="168"/>
      <c r="R42" s="169"/>
      <c r="S42" s="170"/>
      <c r="T42" s="168"/>
      <c r="U42" s="171"/>
    </row>
    <row r="43" ht="15" customHeight="1" spans="1:21">
      <c r="A43" s="32"/>
      <c r="B43" s="33" t="s">
        <v>11</v>
      </c>
      <c r="C43" s="34" t="s">
        <v>51</v>
      </c>
      <c r="D43" s="60">
        <v>5.1</v>
      </c>
      <c r="E43" s="61"/>
      <c r="F43" s="62"/>
      <c r="G43" s="63"/>
      <c r="H43" s="64">
        <f t="shared" ref="H43:H47" si="15">D43*E42*3.28084</f>
        <v>200.787408</v>
      </c>
      <c r="I43" s="130">
        <f>I39-H43</f>
        <v>300.9842616</v>
      </c>
      <c r="J43" s="35">
        <v>5.1</v>
      </c>
      <c r="K43" s="131"/>
      <c r="L43" s="37"/>
      <c r="M43" s="38"/>
      <c r="N43" s="132">
        <f t="shared" ref="N43:N47" si="16">J43*K42*3.28084</f>
        <v>401.574816</v>
      </c>
      <c r="O43" s="133">
        <f>O39-N43</f>
        <v>601.9685232</v>
      </c>
      <c r="P43" s="134"/>
      <c r="Q43" s="168"/>
      <c r="R43" s="169"/>
      <c r="S43" s="170"/>
      <c r="T43" s="168"/>
      <c r="U43" s="171"/>
    </row>
    <row r="44" ht="15" customHeight="1" spans="1:21">
      <c r="A44" s="23" t="s">
        <v>53</v>
      </c>
      <c r="B44" s="24" t="s">
        <v>9</v>
      </c>
      <c r="C44" s="25" t="s">
        <v>54</v>
      </c>
      <c r="D44" s="65">
        <v>24.4</v>
      </c>
      <c r="E44" s="66">
        <v>15</v>
      </c>
      <c r="F44" s="67">
        <f>D44*E44</f>
        <v>366</v>
      </c>
      <c r="G44" s="68">
        <f>F44*0.000621371</f>
        <v>0.227421786</v>
      </c>
      <c r="H44" s="69"/>
      <c r="I44" s="135"/>
      <c r="J44" s="26">
        <v>24.4</v>
      </c>
      <c r="K44" s="136">
        <v>30</v>
      </c>
      <c r="L44" s="28">
        <f>J44*K44</f>
        <v>732</v>
      </c>
      <c r="M44" s="29">
        <f>L44*0.000621371</f>
        <v>0.454843572</v>
      </c>
      <c r="N44" s="30"/>
      <c r="O44" s="118"/>
      <c r="P44" s="137"/>
      <c r="Q44" s="172"/>
      <c r="R44" s="173"/>
      <c r="S44" s="174"/>
      <c r="T44" s="172"/>
      <c r="U44" s="175"/>
    </row>
    <row r="45" ht="15" customHeight="1" spans="1:21">
      <c r="A45" s="23"/>
      <c r="B45" s="24" t="s">
        <v>11</v>
      </c>
      <c r="C45" s="25" t="s">
        <v>55</v>
      </c>
      <c r="D45" s="65">
        <v>5.1</v>
      </c>
      <c r="E45" s="66"/>
      <c r="F45" s="67"/>
      <c r="G45" s="67"/>
      <c r="H45" s="69">
        <f t="shared" si="15"/>
        <v>250.98426</v>
      </c>
      <c r="I45" s="135">
        <f>I43-H45</f>
        <v>50.0000016</v>
      </c>
      <c r="J45" s="26">
        <v>5.1</v>
      </c>
      <c r="K45" s="138"/>
      <c r="L45" s="28"/>
      <c r="M45" s="28"/>
      <c r="N45" s="30">
        <f t="shared" si="16"/>
        <v>501.96852</v>
      </c>
      <c r="O45" s="118">
        <f>O43-N45</f>
        <v>100.0000032</v>
      </c>
      <c r="P45" s="137"/>
      <c r="Q45" s="172"/>
      <c r="R45" s="173"/>
      <c r="S45" s="174"/>
      <c r="T45" s="172"/>
      <c r="U45" s="175"/>
    </row>
    <row r="46" ht="15" customHeight="1" spans="1:21">
      <c r="A46" s="32" t="s">
        <v>56</v>
      </c>
      <c r="B46" s="33" t="s">
        <v>9</v>
      </c>
      <c r="C46" s="34"/>
      <c r="D46" s="60"/>
      <c r="E46" s="61">
        <v>6</v>
      </c>
      <c r="F46" s="62"/>
      <c r="G46" s="63"/>
      <c r="H46" s="64"/>
      <c r="I46" s="130"/>
      <c r="J46" s="35"/>
      <c r="K46" s="136">
        <v>12</v>
      </c>
      <c r="L46" s="37"/>
      <c r="M46" s="38"/>
      <c r="N46" s="132"/>
      <c r="O46" s="133"/>
      <c r="P46" s="134"/>
      <c r="Q46" s="168"/>
      <c r="R46" s="169"/>
      <c r="S46" s="170"/>
      <c r="T46" s="168"/>
      <c r="U46" s="171"/>
    </row>
    <row r="47" ht="15" customHeight="1" spans="1:21">
      <c r="A47" s="74"/>
      <c r="B47" s="75" t="s">
        <v>11</v>
      </c>
      <c r="C47" s="76" t="s">
        <v>57</v>
      </c>
      <c r="D47" s="77">
        <v>2.54</v>
      </c>
      <c r="E47" s="78"/>
      <c r="F47" s="79"/>
      <c r="G47" s="80"/>
      <c r="H47" s="81">
        <f t="shared" si="15"/>
        <v>50.0000016</v>
      </c>
      <c r="I47" s="144">
        <f>I45-H47</f>
        <v>0</v>
      </c>
      <c r="J47" s="145">
        <v>2.54</v>
      </c>
      <c r="K47" s="146"/>
      <c r="L47" s="147"/>
      <c r="M47" s="148"/>
      <c r="N47" s="149">
        <f t="shared" si="16"/>
        <v>100.0000032</v>
      </c>
      <c r="O47" s="150">
        <f>O45-N47</f>
        <v>0</v>
      </c>
      <c r="P47" s="151"/>
      <c r="Q47" s="180"/>
      <c r="R47" s="181"/>
      <c r="S47" s="182"/>
      <c r="T47" s="180"/>
      <c r="U47" s="183"/>
    </row>
    <row r="48" spans="6:21">
      <c r="F48" s="82"/>
      <c r="G48" s="83"/>
      <c r="H48" s="84"/>
      <c r="I48" s="84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</row>
    <row r="49" spans="6:21">
      <c r="F49" s="82"/>
      <c r="G49" s="83"/>
      <c r="H49" s="84"/>
      <c r="I49" s="84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</row>
    <row r="50" spans="4:21">
      <c r="D50" s="85" t="s">
        <v>80</v>
      </c>
      <c r="E50" s="86">
        <f>SUM(E12,E14,E16,E18,E20,E22,E24,E26,E28,E30,E32)/60</f>
        <v>14.8511315440817</v>
      </c>
      <c r="F50" s="87">
        <f>SUM(F16,F18,F20,F22,F24,F26,F28)</f>
        <v>48280.2555964731</v>
      </c>
      <c r="G50" s="88">
        <f>SUM(G16,G18,G20,G22,G24,G26,G28)</f>
        <v>29.9999507002361</v>
      </c>
      <c r="H50" s="89"/>
      <c r="I50" s="152" t="s">
        <v>96</v>
      </c>
      <c r="J50" s="93"/>
      <c r="K50" s="86">
        <f>SUM(K12,K14,K16,K18,K20,K22,K24,K26,K28,K30,K32)/60</f>
        <v>20.8471822147226</v>
      </c>
      <c r="L50" s="87">
        <f>SUM(L16,L18,L20,L22,L24,L26,L28)</f>
        <v>72420.3555964731</v>
      </c>
      <c r="M50" s="88">
        <f>SUM(M16,M18,M20,M22,M24,M26,M28)</f>
        <v>44.9999087773361</v>
      </c>
      <c r="N50" s="89"/>
      <c r="O50" s="152" t="s">
        <v>96</v>
      </c>
      <c r="P50" s="93"/>
      <c r="Q50" s="86">
        <f>SUM(Q12,Q14,Q16,Q18,Q20,Q22,Q24,Q26,Q28,Q30,Q32)/60</f>
        <v>26.8432328853634</v>
      </c>
      <c r="R50" s="87">
        <f>SUM(R16,R18,R20,R22,R24,R26,R28)</f>
        <v>96560.4555964731</v>
      </c>
      <c r="S50" s="88">
        <f>SUM(S16,S18,S20,S22,S24,S26,S28)</f>
        <v>59.9998668544361</v>
      </c>
      <c r="T50" s="89"/>
      <c r="U50" s="152" t="s">
        <v>96</v>
      </c>
    </row>
    <row r="51" spans="5:21">
      <c r="E51" s="90" t="s">
        <v>82</v>
      </c>
      <c r="F51" s="91" t="s">
        <v>83</v>
      </c>
      <c r="G51" s="91" t="s">
        <v>84</v>
      </c>
      <c r="H51" s="92"/>
      <c r="I51" s="153" t="s">
        <v>85</v>
      </c>
      <c r="J51" s="93"/>
      <c r="K51" s="90" t="s">
        <v>82</v>
      </c>
      <c r="L51" s="91" t="s">
        <v>83</v>
      </c>
      <c r="M51" s="91" t="s">
        <v>84</v>
      </c>
      <c r="N51" s="92"/>
      <c r="O51" s="153" t="s">
        <v>85</v>
      </c>
      <c r="P51" s="93"/>
      <c r="Q51" s="90" t="s">
        <v>82</v>
      </c>
      <c r="R51" s="91" t="s">
        <v>83</v>
      </c>
      <c r="S51" s="91" t="s">
        <v>84</v>
      </c>
      <c r="T51" s="92"/>
      <c r="U51" s="153" t="s">
        <v>85</v>
      </c>
    </row>
    <row r="52" spans="8:21">
      <c r="H52" s="93"/>
      <c r="I52" s="93"/>
      <c r="J52" s="93"/>
      <c r="K52" s="93"/>
      <c r="N52" s="93"/>
      <c r="O52" s="93"/>
      <c r="P52" s="93"/>
      <c r="Q52" s="93"/>
      <c r="T52" s="93"/>
      <c r="U52" s="93"/>
    </row>
    <row r="53" spans="4:21">
      <c r="D53" s="85" t="s">
        <v>86</v>
      </c>
      <c r="E53" s="94">
        <f>SUM(E34,E36,E38,E40,E42,E44,E46)/60</f>
        <v>2.97144707639716</v>
      </c>
      <c r="F53" s="95">
        <f>SUM(F36,F38,F40,F42,F44)</f>
        <v>9656.04592957497</v>
      </c>
      <c r="G53" s="96">
        <f>SUM(G36,G38,G40,G42,G44)</f>
        <v>5.99998691530593</v>
      </c>
      <c r="H53" s="97"/>
      <c r="I53" s="154" t="s">
        <v>87</v>
      </c>
      <c r="J53" s="93"/>
      <c r="K53" s="155">
        <f>SUM(K34,K36,K38,K40,K42,K44,K46)/60</f>
        <v>3.54447388453799</v>
      </c>
      <c r="L53" s="156">
        <f>SUM(L36,L38,L40,L42,L44)</f>
        <v>9656.05185914995</v>
      </c>
      <c r="M53" s="157">
        <f>SUM(M36,M38,M40,M42,M44)</f>
        <v>5.99999059977186</v>
      </c>
      <c r="N53" s="158"/>
      <c r="O53" s="159" t="s">
        <v>97</v>
      </c>
      <c r="P53" s="93"/>
      <c r="Q53" s="93"/>
      <c r="R53" s="82"/>
      <c r="S53" s="83"/>
      <c r="T53" s="93"/>
      <c r="U53" s="84"/>
    </row>
    <row r="54" spans="5:21">
      <c r="E54" s="98" t="s">
        <v>82</v>
      </c>
      <c r="F54" s="99" t="s">
        <v>83</v>
      </c>
      <c r="G54" s="99" t="s">
        <v>84</v>
      </c>
      <c r="H54" s="99"/>
      <c r="I54" s="160" t="s">
        <v>85</v>
      </c>
      <c r="K54" s="161" t="s">
        <v>82</v>
      </c>
      <c r="L54" s="162" t="s">
        <v>83</v>
      </c>
      <c r="M54" s="162" t="s">
        <v>84</v>
      </c>
      <c r="N54" s="162"/>
      <c r="O54" s="163" t="s">
        <v>85</v>
      </c>
      <c r="U54" s="93"/>
    </row>
    <row r="55" spans="1:2">
      <c r="A55" s="100"/>
      <c r="B55" s="101"/>
    </row>
    <row r="56" s="1" customFormat="1" spans="1:1">
      <c r="A56" s="102" t="s">
        <v>88</v>
      </c>
    </row>
    <row r="57" ht="28.8" spans="1:4">
      <c r="A57" s="103" t="s">
        <v>89</v>
      </c>
      <c r="B57" s="4"/>
      <c r="C57" s="4" t="s">
        <v>90</v>
      </c>
      <c r="D57" s="104" t="s">
        <v>91</v>
      </c>
    </row>
    <row r="58" spans="1:4">
      <c r="A58" s="105" t="s">
        <v>92</v>
      </c>
      <c r="B58" s="106">
        <v>30</v>
      </c>
      <c r="C58" s="107">
        <f>B58-SUM(G16,G18,G20,G24,G26,G28)</f>
        <v>17.6394395196</v>
      </c>
      <c r="D58" s="108">
        <f t="shared" ref="D58:D60" si="17">C58*1609.34/($D$22)</f>
        <v>423.067892644904</v>
      </c>
    </row>
    <row r="59" spans="1:4">
      <c r="A59" s="105" t="s">
        <v>93</v>
      </c>
      <c r="B59" s="106">
        <v>45</v>
      </c>
      <c r="C59" s="107">
        <f>B59-SUM(G16,G18,G20,G24,G26,G28)</f>
        <v>32.6394395196</v>
      </c>
      <c r="D59" s="108">
        <f t="shared" si="17"/>
        <v>782.830932883354</v>
      </c>
    </row>
    <row r="60" spans="1:4">
      <c r="A60" s="105" t="s">
        <v>94</v>
      </c>
      <c r="B60" s="106">
        <v>60</v>
      </c>
      <c r="C60" s="107">
        <f>B60-SUM(G16,G18,G20,G24,G26,G28)</f>
        <v>47.6394395196</v>
      </c>
      <c r="D60" s="108">
        <f t="shared" si="17"/>
        <v>1142.5939731218</v>
      </c>
    </row>
    <row r="61" spans="1:4">
      <c r="A61" s="109" t="s">
        <v>95</v>
      </c>
      <c r="B61" s="110">
        <v>6</v>
      </c>
      <c r="C61" s="111">
        <f>B61-SUM(G36,G38,G42,G44)</f>
        <v>4.6816992864</v>
      </c>
      <c r="D61" s="112">
        <f>C61*1609.34/(D40)</f>
        <v>112.28682458383</v>
      </c>
    </row>
    <row r="62" spans="1:4">
      <c r="A62" s="113" t="s">
        <v>98</v>
      </c>
      <c r="B62" s="114">
        <v>6</v>
      </c>
      <c r="C62" s="115">
        <f>B61-SUM(M36,M38,M42,M44)</f>
        <v>3.3633985728</v>
      </c>
      <c r="D62" s="115">
        <f>C62*1609.34/(D40)</f>
        <v>80.6684330722795</v>
      </c>
    </row>
  </sheetData>
  <mergeCells count="22">
    <mergeCell ref="D10:I10"/>
    <mergeCell ref="J10:O10"/>
    <mergeCell ref="P10:U10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10:C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Testing</vt:lpstr>
      <vt:lpstr>Low Altitude (1500 ft)</vt:lpstr>
      <vt:lpstr>High Altitude (3000 ft)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2025-09-29T13:05:52Z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AD9D3BE27F3645119107E58F4F2659B6_12</vt:lpwstr>
  </property>
  <property fmtid="{D5CDD505-2E9C-101B-9397-08002B2CF9AE}" pid="3" name="KSOProductBuildVer">
    <vt:lpwstr>1033-12.2.0.22549</vt:lpwstr>
  </property>
</Properties>
</file>