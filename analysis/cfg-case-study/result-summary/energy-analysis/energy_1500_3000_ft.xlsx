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2"/>
  </bookViews>
  <sheets>
    <sheet name="1500 ft" sheetId="1" r:id="rId1"/>
    <sheet name="3000 ft" sheetId="2" r:id="rId2"/>
    <sheet name="All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<sst xmlns="http://schemas.openxmlformats.org/spreadsheetml/2006/main" count="188" uniqueCount="33">
  <si>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</si>
  <si>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</si>
  <si>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</si>
  <si>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</si>
  <si>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</si>
  <si>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</si>
  <si>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</si>
  <si>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</si>
  <si>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</si>
  <si>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</si>
  <si>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</si>
  <si>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</si>
  <si>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</si>
  <si>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</si>
  <si>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</si>
  <si>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</si>
  <si>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</si>
  <si>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</si>
  <si>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</si>
  <si>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</si>
  <si>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</si>
  <si>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</si>
  <si>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</si>
  <si>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</si>
  <si>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</si>
  <si>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TOTAL</t>
  </si>
  <si>
    <t>Cruise (30 mi)</t>
  </si>
  <si>
    <t>Cruise (45 mi)</t>
  </si>
  <si>
    <t>Cruise (60 mi)</t>
  </si>
  <si>
    <t>% Drop</t>
  </si>
  <si>
    <t>1500 ft</t>
  </si>
  <si>
    <t>3000 ft</t>
  </si>
  <si>
    <t>Mission Profile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</si>
</sst>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  <numFmt numFmtId="179" formatCode="0.0_ "/>
  </numFmts>
  <fonts count="22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5" applyNumberFormat="0" applyFill="0" applyAlignment="0" applyProtection="0">
      <alignment vertical="center"/>
    </xf>
    <xf numFmtId="0" fontId="9" fillId="0" borderId="15" applyNumberFormat="0" applyFill="0" applyAlignment="0" applyProtection="0">
      <alignment vertical="center"/>
    </xf>
    <xf numFmtId="0" fontId="10" fillId="0" borderId="1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7" applyNumberFormat="0" applyAlignment="0" applyProtection="0">
      <alignment vertical="center"/>
    </xf>
    <xf numFmtId="0" fontId="12" fillId="6" borderId="18" applyNumberFormat="0" applyAlignment="0" applyProtection="0">
      <alignment vertical="center"/>
    </xf>
    <xf numFmtId="0" fontId="13" fillId="6" borderId="17" applyNumberFormat="0" applyAlignment="0" applyProtection="0">
      <alignment vertical="center"/>
    </xf>
    <xf numFmtId="0" fontId="14" fillId="7" borderId="19" applyNumberFormat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3" applyAlignment="1"/>
    <xf numFmtId="0" fontId="0" fillId="0" borderId="0" xfId="0" applyFont="1" applyFill="1" applyAlignment="1">
      <alignment horizontal="center" vertical="center"/>
    </xf>
    <xf numFmtId="10" fontId="1" fillId="3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79" fontId="0" fillId="0" borderId="12" xfId="0" applyNumberFormat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0" fontId="0" fillId="0" borderId="1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79" fontId="2" fillId="0" borderId="12" xfId="0" applyNumberFormat="1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79" fontId="2" fillId="0" borderId="13" xfId="0" applyNumberFormat="1" applyFont="1" applyBorder="1" applyAlignment="1">
      <alignment horizontal="center"/>
    </xf>
    <xf numFmtId="0" fontId="2" fillId="0" borderId="11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179" fontId="2" fillId="0" borderId="10" xfId="0" applyNumberFormat="1" applyFont="1" applyBorder="1" applyAlignment="1">
      <alignment horizontal="center"/>
    </xf>
    <xf numFmtId="0" fontId="2" fillId="0" borderId="8" xfId="0" applyFont="1" applyFill="1" applyBorder="1" applyAlignment="1">
      <alignment horizontal="center" vertical="center"/>
    </xf>
    <xf numFmtId="179" fontId="0" fillId="3" borderId="13" xfId="0" applyNumberForma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179" fontId="0" fillId="0" borderId="10" xfId="0" applyNumberFormat="1" applyBorder="1" applyAlignment="1">
      <alignment horizontal="center"/>
    </xf>
    <xf numFmtId="0" fontId="0" fillId="0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1" xfId="0" applyBorder="1"/>
    <xf numFmtId="0" fontId="0" fillId="0" borderId="13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0.980656</c:v>
                </c:pt>
                <c:pt idx="7">
                  <c:v>0.55039</c:v>
                </c:pt>
                <c:pt idx="8">
                  <c:v>0.147982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2.096034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0.146802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1.050524</c:v>
                </c:pt>
                <c:pt idx="7">
                  <c:v>0.530053</c:v>
                </c:pt>
                <c:pt idx="8">
                  <c:v>0.066325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1.797259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0.065431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ft'!$C$4:$T$4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46.372197</c:v>
                </c:pt>
                <c:pt idx="6">
                  <c:v>1.360603</c:v>
                </c:pt>
                <c:pt idx="7">
                  <c:v>0.650071</c:v>
                </c:pt>
                <c:pt idx="8">
                  <c:v>0.138609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2.277495</c:v>
                </c:pt>
                <c:pt idx="13">
                  <c:v>1.727401</c:v>
                </c:pt>
                <c:pt idx="14">
                  <c:v>9.307681</c:v>
                </c:pt>
                <c:pt idx="15">
                  <c:v>0.179164</c:v>
                </c:pt>
                <c:pt idx="16">
                  <c:v>0.137364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68.013416</c:v>
                </c:pt>
                <c:pt idx="6">
                  <c:v>0.980656</c:v>
                </c:pt>
                <c:pt idx="7">
                  <c:v>0.55039</c:v>
                </c:pt>
                <c:pt idx="8">
                  <c:v>0.147982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2.096034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0.146802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42.810893</c:v>
                </c:pt>
                <c:pt idx="6">
                  <c:v>1.050524</c:v>
                </c:pt>
                <c:pt idx="7">
                  <c:v>0.530053</c:v>
                </c:pt>
                <c:pt idx="8">
                  <c:v>0.066325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1.797259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0.065431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ft'!$C$8:$T$8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76.289744</c:v>
                </c:pt>
                <c:pt idx="6">
                  <c:v>1.360603</c:v>
                </c:pt>
                <c:pt idx="7">
                  <c:v>0.650071</c:v>
                </c:pt>
                <c:pt idx="8">
                  <c:v>0.138609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2.277495</c:v>
                </c:pt>
                <c:pt idx="13">
                  <c:v>1.727401</c:v>
                </c:pt>
                <c:pt idx="14">
                  <c:v>9.307681</c:v>
                </c:pt>
                <c:pt idx="15">
                  <c:v>0.179164</c:v>
                </c:pt>
                <c:pt idx="16">
                  <c:v>0.137364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94.685344</c:v>
                </c:pt>
                <c:pt idx="6">
                  <c:v>0.980656</c:v>
                </c:pt>
                <c:pt idx="7">
                  <c:v>0.55039</c:v>
                </c:pt>
                <c:pt idx="8">
                  <c:v>0.147982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2.096034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0.146802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59.599479</c:v>
                </c:pt>
                <c:pt idx="6">
                  <c:v>1.050524</c:v>
                </c:pt>
                <c:pt idx="7">
                  <c:v>0.530053</c:v>
                </c:pt>
                <c:pt idx="8">
                  <c:v>0.066325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1.797259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0.065431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ft'!$C$12:$T$12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106.207291</c:v>
                </c:pt>
                <c:pt idx="6">
                  <c:v>1.360603</c:v>
                </c:pt>
                <c:pt idx="7">
                  <c:v>0.650071</c:v>
                </c:pt>
                <c:pt idx="8">
                  <c:v>0.138609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2.277495</c:v>
                </c:pt>
                <c:pt idx="13">
                  <c:v>1.727401</c:v>
                </c:pt>
                <c:pt idx="14">
                  <c:v>9.307681</c:v>
                </c:pt>
                <c:pt idx="15">
                  <c:v>0.179164</c:v>
                </c:pt>
                <c:pt idx="16">
                  <c:v>0.137364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68.013416</c:v>
                </c:pt>
                <c:pt idx="7">
                  <c:v>94.685344</c:v>
                </c:pt>
                <c:pt idx="8">
                  <c:v>0.980656</c:v>
                </c:pt>
                <c:pt idx="9">
                  <c:v>0.55039</c:v>
                </c:pt>
                <c:pt idx="10">
                  <c:v>0.147982</c:v>
                </c:pt>
                <c:pt idx="11">
                  <c:v>1.231238</c:v>
                </c:pt>
                <c:pt idx="12">
                  <c:v>0.00414</c:v>
                </c:pt>
                <c:pt idx="13">
                  <c:v>1.26099</c:v>
                </c:pt>
                <c:pt idx="14">
                  <c:v>2.096034</c:v>
                </c:pt>
                <c:pt idx="15">
                  <c:v>1.585685</c:v>
                </c:pt>
                <c:pt idx="16">
                  <c:v>8.297933</c:v>
                </c:pt>
                <c:pt idx="17">
                  <c:v>0.180616</c:v>
                </c:pt>
                <c:pt idx="18">
                  <c:v>0.146802</c:v>
                </c:pt>
                <c:pt idx="19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42.810893</c:v>
                </c:pt>
                <c:pt idx="7">
                  <c:v>59.599479</c:v>
                </c:pt>
                <c:pt idx="8">
                  <c:v>1.050524</c:v>
                </c:pt>
                <c:pt idx="9">
                  <c:v>0.530053</c:v>
                </c:pt>
                <c:pt idx="10">
                  <c:v>0.066325</c:v>
                </c:pt>
                <c:pt idx="11">
                  <c:v>0.762784</c:v>
                </c:pt>
                <c:pt idx="12">
                  <c:v>0.003135</c:v>
                </c:pt>
                <c:pt idx="13">
                  <c:v>0.785311</c:v>
                </c:pt>
                <c:pt idx="14">
                  <c:v>1.797259</c:v>
                </c:pt>
                <c:pt idx="15">
                  <c:v>1.25196</c:v>
                </c:pt>
                <c:pt idx="16">
                  <c:v>5.223116</c:v>
                </c:pt>
                <c:pt idx="17">
                  <c:v>0.125976</c:v>
                </c:pt>
                <c:pt idx="18">
                  <c:v>0.065431</c:v>
                </c:pt>
                <c:pt idx="19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46.372197</c:v>
                </c:pt>
                <c:pt idx="6">
                  <c:v>76.289744</c:v>
                </c:pt>
                <c:pt idx="7">
                  <c:v>106.207291</c:v>
                </c:pt>
                <c:pt idx="8">
                  <c:v>1.360603</c:v>
                </c:pt>
                <c:pt idx="9">
                  <c:v>0.650071</c:v>
                </c:pt>
                <c:pt idx="10">
                  <c:v>0.138609</c:v>
                </c:pt>
                <c:pt idx="11">
                  <c:v>0.903235</c:v>
                </c:pt>
                <c:pt idx="12">
                  <c:v>0.004368</c:v>
                </c:pt>
                <c:pt idx="13">
                  <c:v>0.934626</c:v>
                </c:pt>
                <c:pt idx="14">
                  <c:v>2.277495</c:v>
                </c:pt>
                <c:pt idx="15">
                  <c:v>1.727401</c:v>
                </c:pt>
                <c:pt idx="16">
                  <c:v>9.307681</c:v>
                </c:pt>
                <c:pt idx="17">
                  <c:v>0.179164</c:v>
                </c:pt>
                <c:pt idx="18">
                  <c:v>0.137364</c:v>
                </c:pt>
                <c:pt idx="19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3.223824</c:v>
                </c:pt>
                <c:pt idx="7">
                  <c:v>0.552865</c:v>
                </c:pt>
                <c:pt idx="8">
                  <c:v>0.074355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2.819842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0.079975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3.054837</c:v>
                </c:pt>
                <c:pt idx="7">
                  <c:v>0.531767</c:v>
                </c:pt>
                <c:pt idx="8">
                  <c:v>0.476696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2.555484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0.480951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ft'!$C$4:$T$4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34.930488</c:v>
                </c:pt>
                <c:pt idx="6">
                  <c:v>4.054305</c:v>
                </c:pt>
                <c:pt idx="7">
                  <c:v>0.652756</c:v>
                </c:pt>
                <c:pt idx="8">
                  <c:v>0.210333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3.107146</c:v>
                </c:pt>
                <c:pt idx="13">
                  <c:v>2.178988</c:v>
                </c:pt>
                <c:pt idx="14">
                  <c:v>6.688817</c:v>
                </c:pt>
                <c:pt idx="15">
                  <c:v>0.084923</c:v>
                </c:pt>
                <c:pt idx="16">
                  <c:v>0.216263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57.342883</c:v>
                </c:pt>
                <c:pt idx="6">
                  <c:v>3.223824</c:v>
                </c:pt>
                <c:pt idx="7">
                  <c:v>0.552865</c:v>
                </c:pt>
                <c:pt idx="8">
                  <c:v>0.074355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2.819842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0.079975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36.727049</c:v>
                </c:pt>
                <c:pt idx="6">
                  <c:v>3.054837</c:v>
                </c:pt>
                <c:pt idx="7">
                  <c:v>0.531767</c:v>
                </c:pt>
                <c:pt idx="8">
                  <c:v>0.476696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2.555484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0.480951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ft'!$C$8:$T$8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64.658563</c:v>
                </c:pt>
                <c:pt idx="6">
                  <c:v>4.054305</c:v>
                </c:pt>
                <c:pt idx="7">
                  <c:v>0.652756</c:v>
                </c:pt>
                <c:pt idx="8">
                  <c:v>0.210333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3.107146</c:v>
                </c:pt>
                <c:pt idx="13">
                  <c:v>2.178988</c:v>
                </c:pt>
                <c:pt idx="14">
                  <c:v>6.688817</c:v>
                </c:pt>
                <c:pt idx="15">
                  <c:v>0.084923</c:v>
                </c:pt>
                <c:pt idx="16">
                  <c:v>0.216263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83.707427</c:v>
                </c:pt>
                <c:pt idx="6">
                  <c:v>3.223824</c:v>
                </c:pt>
                <c:pt idx="7">
                  <c:v>0.552865</c:v>
                </c:pt>
                <c:pt idx="8">
                  <c:v>0.074355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2.819842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0.079975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53.613048</c:v>
                </c:pt>
                <c:pt idx="6">
                  <c:v>3.054837</c:v>
                </c:pt>
                <c:pt idx="7">
                  <c:v>0.531767</c:v>
                </c:pt>
                <c:pt idx="8">
                  <c:v>0.476696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2.555484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0.480951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ft'!$C$12:$T$12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94.386638</c:v>
                </c:pt>
                <c:pt idx="6">
                  <c:v>4.054305</c:v>
                </c:pt>
                <c:pt idx="7">
                  <c:v>0.652756</c:v>
                </c:pt>
                <c:pt idx="8">
                  <c:v>0.210333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3.107146</c:v>
                </c:pt>
                <c:pt idx="13">
                  <c:v>2.178988</c:v>
                </c:pt>
                <c:pt idx="14">
                  <c:v>6.688817</c:v>
                </c:pt>
                <c:pt idx="15">
                  <c:v>0.084923</c:v>
                </c:pt>
                <c:pt idx="16">
                  <c:v>0.216263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57.342883</c:v>
                </c:pt>
                <c:pt idx="7">
                  <c:v>83.707427</c:v>
                </c:pt>
                <c:pt idx="8">
                  <c:v>3.223824</c:v>
                </c:pt>
                <c:pt idx="9">
                  <c:v>0.552865</c:v>
                </c:pt>
                <c:pt idx="10">
                  <c:v>0.074355</c:v>
                </c:pt>
                <c:pt idx="11">
                  <c:v>2.477353</c:v>
                </c:pt>
                <c:pt idx="12">
                  <c:v>0.00414</c:v>
                </c:pt>
                <c:pt idx="13">
                  <c:v>2.507104</c:v>
                </c:pt>
                <c:pt idx="14">
                  <c:v>2.819842</c:v>
                </c:pt>
                <c:pt idx="15">
                  <c:v>1.962046</c:v>
                </c:pt>
                <c:pt idx="16">
                  <c:v>5.932022</c:v>
                </c:pt>
                <c:pt idx="17">
                  <c:v>0.102141</c:v>
                </c:pt>
                <c:pt idx="18">
                  <c:v>0.079975</c:v>
                </c:pt>
                <c:pt idx="19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36.727049</c:v>
                </c:pt>
                <c:pt idx="7">
                  <c:v>53.613048</c:v>
                </c:pt>
                <c:pt idx="8">
                  <c:v>3.054837</c:v>
                </c:pt>
                <c:pt idx="9">
                  <c:v>0.531767</c:v>
                </c:pt>
                <c:pt idx="10">
                  <c:v>0.476696</c:v>
                </c:pt>
                <c:pt idx="11">
                  <c:v>1.536832</c:v>
                </c:pt>
                <c:pt idx="12">
                  <c:v>0.003135</c:v>
                </c:pt>
                <c:pt idx="13">
                  <c:v>1.559359</c:v>
                </c:pt>
                <c:pt idx="14">
                  <c:v>2.555484</c:v>
                </c:pt>
                <c:pt idx="15">
                  <c:v>1.587904</c:v>
                </c:pt>
                <c:pt idx="16">
                  <c:v>3.79935</c:v>
                </c:pt>
                <c:pt idx="17">
                  <c:v>0.055852</c:v>
                </c:pt>
                <c:pt idx="18">
                  <c:v>0.480951</c:v>
                </c:pt>
                <c:pt idx="19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34.930488</c:v>
                </c:pt>
                <c:pt idx="6">
                  <c:v>64.658563</c:v>
                </c:pt>
                <c:pt idx="7">
                  <c:v>94.386638</c:v>
                </c:pt>
                <c:pt idx="8">
                  <c:v>4.054305</c:v>
                </c:pt>
                <c:pt idx="9">
                  <c:v>0.652756</c:v>
                </c:pt>
                <c:pt idx="10">
                  <c:v>0.210333</c:v>
                </c:pt>
                <c:pt idx="11">
                  <c:v>1.822165</c:v>
                </c:pt>
                <c:pt idx="12">
                  <c:v>0.004368</c:v>
                </c:pt>
                <c:pt idx="13">
                  <c:v>1.853556</c:v>
                </c:pt>
                <c:pt idx="14">
                  <c:v>3.107146</c:v>
                </c:pt>
                <c:pt idx="15">
                  <c:v>2.178988</c:v>
                </c:pt>
                <c:pt idx="16">
                  <c:v>6.688817</c:v>
                </c:pt>
                <c:pt idx="17">
                  <c:v>0.084923</c:v>
                </c:pt>
                <c:pt idx="18">
                  <c:v>0.216263</c:v>
                </c:pt>
                <c:pt idx="19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68.013416</c:v>
                </c:pt>
                <c:pt idx="7">
                  <c:v>94.685344</c:v>
                </c:pt>
                <c:pt idx="8">
                  <c:v>0.980656</c:v>
                </c:pt>
                <c:pt idx="9">
                  <c:v>0.55039</c:v>
                </c:pt>
                <c:pt idx="10">
                  <c:v>0.147982</c:v>
                </c:pt>
                <c:pt idx="11">
                  <c:v>1.231238</c:v>
                </c:pt>
                <c:pt idx="12">
                  <c:v>0.00414</c:v>
                </c:pt>
                <c:pt idx="13">
                  <c:v>1.26099</c:v>
                </c:pt>
                <c:pt idx="14">
                  <c:v>2.096034</c:v>
                </c:pt>
                <c:pt idx="15">
                  <c:v>1.585685</c:v>
                </c:pt>
                <c:pt idx="16">
                  <c:v>8.297933</c:v>
                </c:pt>
                <c:pt idx="17">
                  <c:v>0.180616</c:v>
                </c:pt>
                <c:pt idx="18">
                  <c:v>0.146802</c:v>
                </c:pt>
                <c:pt idx="19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42.810893</c:v>
                </c:pt>
                <c:pt idx="7">
                  <c:v>59.599479</c:v>
                </c:pt>
                <c:pt idx="8">
                  <c:v>1.050524</c:v>
                </c:pt>
                <c:pt idx="9">
                  <c:v>0.530053</c:v>
                </c:pt>
                <c:pt idx="10">
                  <c:v>0.066325</c:v>
                </c:pt>
                <c:pt idx="11">
                  <c:v>0.762784</c:v>
                </c:pt>
                <c:pt idx="12">
                  <c:v>0.003135</c:v>
                </c:pt>
                <c:pt idx="13">
                  <c:v>0.785311</c:v>
                </c:pt>
                <c:pt idx="14">
                  <c:v>1.797259</c:v>
                </c:pt>
                <c:pt idx="15">
                  <c:v>1.25196</c:v>
                </c:pt>
                <c:pt idx="16">
                  <c:v>5.223116</c:v>
                </c:pt>
                <c:pt idx="17">
                  <c:v>0.125976</c:v>
                </c:pt>
                <c:pt idx="18">
                  <c:v>0.065431</c:v>
                </c:pt>
                <c:pt idx="19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46.372197</c:v>
                </c:pt>
                <c:pt idx="6">
                  <c:v>76.289744</c:v>
                </c:pt>
                <c:pt idx="7">
                  <c:v>106.207291</c:v>
                </c:pt>
                <c:pt idx="8">
                  <c:v>1.360603</c:v>
                </c:pt>
                <c:pt idx="9">
                  <c:v>0.650071</c:v>
                </c:pt>
                <c:pt idx="10">
                  <c:v>0.138609</c:v>
                </c:pt>
                <c:pt idx="11">
                  <c:v>0.903235</c:v>
                </c:pt>
                <c:pt idx="12">
                  <c:v>0.004368</c:v>
                </c:pt>
                <c:pt idx="13">
                  <c:v>0.934626</c:v>
                </c:pt>
                <c:pt idx="14">
                  <c:v>2.277495</c:v>
                </c:pt>
                <c:pt idx="15">
                  <c:v>1.727401</c:v>
                </c:pt>
                <c:pt idx="16">
                  <c:v>9.307681</c:v>
                </c:pt>
                <c:pt idx="17">
                  <c:v>0.179164</c:v>
                </c:pt>
                <c:pt idx="18">
                  <c:v>0.137364</c:v>
                </c:pt>
                <c:pt idx="19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57.342883</c:v>
                </c:pt>
                <c:pt idx="7">
                  <c:v>83.707427</c:v>
                </c:pt>
                <c:pt idx="8">
                  <c:v>3.223824</c:v>
                </c:pt>
                <c:pt idx="9">
                  <c:v>0.552865</c:v>
                </c:pt>
                <c:pt idx="10">
                  <c:v>0.074355</c:v>
                </c:pt>
                <c:pt idx="11">
                  <c:v>2.477353</c:v>
                </c:pt>
                <c:pt idx="12">
                  <c:v>0.00414</c:v>
                </c:pt>
                <c:pt idx="13">
                  <c:v>2.507104</c:v>
                </c:pt>
                <c:pt idx="14">
                  <c:v>2.819842</c:v>
                </c:pt>
                <c:pt idx="15">
                  <c:v>1.962046</c:v>
                </c:pt>
                <c:pt idx="16">
                  <c:v>5.932022</c:v>
                </c:pt>
                <c:pt idx="17">
                  <c:v>0.102141</c:v>
                </c:pt>
                <c:pt idx="18">
                  <c:v>0.079975</c:v>
                </c:pt>
                <c:pt idx="19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36.727049</c:v>
                </c:pt>
                <c:pt idx="7">
                  <c:v>53.613048</c:v>
                </c:pt>
                <c:pt idx="8">
                  <c:v>3.054837</c:v>
                </c:pt>
                <c:pt idx="9">
                  <c:v>0.531767</c:v>
                </c:pt>
                <c:pt idx="10">
                  <c:v>0.476696</c:v>
                </c:pt>
                <c:pt idx="11">
                  <c:v>1.536832</c:v>
                </c:pt>
                <c:pt idx="12">
                  <c:v>0.003135</c:v>
                </c:pt>
                <c:pt idx="13">
                  <c:v>1.559359</c:v>
                </c:pt>
                <c:pt idx="14">
                  <c:v>2.555484</c:v>
                </c:pt>
                <c:pt idx="15">
                  <c:v>1.587904</c:v>
                </c:pt>
                <c:pt idx="16">
                  <c:v>3.79935</c:v>
                </c:pt>
                <c:pt idx="17">
                  <c:v>0.055852</c:v>
                </c:pt>
                <c:pt idx="18">
                  <c:v>0.480951</c:v>
                </c:pt>
                <c:pt idx="19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34.930488</c:v>
                </c:pt>
                <c:pt idx="6">
                  <c:v>64.658563</c:v>
                </c:pt>
                <c:pt idx="7">
                  <c:v>94.386638</c:v>
                </c:pt>
                <c:pt idx="8">
                  <c:v>4.054305</c:v>
                </c:pt>
                <c:pt idx="9">
                  <c:v>0.652756</c:v>
                </c:pt>
                <c:pt idx="10">
                  <c:v>0.210333</c:v>
                </c:pt>
                <c:pt idx="11">
                  <c:v>1.822165</c:v>
                </c:pt>
                <c:pt idx="12">
                  <c:v>0.004368</c:v>
                </c:pt>
                <c:pt idx="13">
                  <c:v>1.853556</c:v>
                </c:pt>
                <c:pt idx="14">
                  <c:v>3.107146</c:v>
                </c:pt>
                <c:pt idx="15">
                  <c:v>2.178988</c:v>
                </c:pt>
                <c:pt idx="16">
                  <c:v>6.688817</c:v>
                </c:pt>
                <c:pt idx="17">
                  <c:v>0.084923</c:v>
                </c:pt>
                <c:pt idx="18">
                  <c:v>0.216263</c:v>
                </c:pt>
                <c:pt idx="19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4" name="Chart 3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5" name="Chart 4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6" name="Chart 5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3" name="Chart 2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4" name="Chart 3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5" name="Chart 4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715645</xdr:colOff>
      <xdr:row>0</xdr:row>
      <xdr:rowOff>95250</xdr:rowOff>
    </xdr:from>
    <xdr:to>
      <xdr:col>22</xdr:col>
      <xdr:colOff>394970</xdr:colOff>
      <xdr:row>26</xdr:row>
      <xdr:rowOff>18415</xdr:rowOff>
    </xdr:to>
    <xdr:graphicFrame>
      <xdr:nvGraphicFramePr>
        <xdr:cNvPr id="2" name="Chart 1"/>
        <xdr:cNvGraphicFramePr/>
      </xdr:nvGraphicFramePr>
      <xdr:xfrm>
        <a:off x="12892405" y="95250"/>
        <a:ext cx="8747125" cy="4678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772160</xdr:colOff>
      <xdr:row>28</xdr:row>
      <xdr:rowOff>20320</xdr:rowOff>
    </xdr:from>
    <xdr:to>
      <xdr:col>22</xdr:col>
      <xdr:colOff>451485</xdr:colOff>
      <xdr:row>53</xdr:row>
      <xdr:rowOff>180340</xdr:rowOff>
    </xdr:to>
    <xdr:graphicFrame>
      <xdr:nvGraphicFramePr>
        <xdr:cNvPr id="3" name="Chart 2"/>
        <xdr:cNvGraphicFramePr/>
      </xdr:nvGraphicFramePr>
      <xdr:xfrm>
        <a:off x="12948920" y="5140960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60"/>
  <sheetViews>
    <sheetView zoomScale="68" zoomScaleNormal="68" workbookViewId="0">
      <selection activeCell="A6" sqref="A6:A8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65">
        <v>0.00414</v>
      </c>
      <c r="D2" s="65">
        <v>1.26099</v>
      </c>
      <c r="E2" s="65">
        <v>2.096034</v>
      </c>
      <c r="F2" s="65">
        <v>0.55039</v>
      </c>
      <c r="G2" s="65">
        <v>3.460097</v>
      </c>
      <c r="H2" s="65">
        <v>41.341488</v>
      </c>
      <c r="I2" s="65">
        <v>0.980656</v>
      </c>
      <c r="J2" s="65">
        <v>0.55039</v>
      </c>
      <c r="K2" s="65">
        <v>0.147982</v>
      </c>
      <c r="L2" s="65">
        <v>1.231238</v>
      </c>
      <c r="M2" s="65">
        <v>0.00414</v>
      </c>
      <c r="N2" s="65">
        <v>1.26099</v>
      </c>
      <c r="O2" s="65">
        <v>2.096034</v>
      </c>
      <c r="P2" s="65">
        <v>1.585685</v>
      </c>
      <c r="Q2" s="65">
        <v>8.297933</v>
      </c>
      <c r="R2" s="65">
        <v>0.180616</v>
      </c>
      <c r="S2" s="65">
        <v>0.146802</v>
      </c>
      <c r="T2" s="75">
        <v>1.231238</v>
      </c>
    </row>
    <row r="3" s="8" customFormat="1" spans="1:20">
      <c r="A3" s="4"/>
      <c r="B3" s="8" t="s">
        <v>20</v>
      </c>
      <c r="C3" s="65">
        <v>0.003135</v>
      </c>
      <c r="D3" s="65">
        <v>0.785311</v>
      </c>
      <c r="E3" s="65">
        <v>1.797259</v>
      </c>
      <c r="F3" s="65">
        <v>0.530053</v>
      </c>
      <c r="G3" s="65">
        <v>2.927872</v>
      </c>
      <c r="H3" s="65">
        <v>26.022308</v>
      </c>
      <c r="I3" s="65">
        <v>1.050524</v>
      </c>
      <c r="J3" s="65">
        <v>0.530053</v>
      </c>
      <c r="K3" s="65">
        <v>0.066325</v>
      </c>
      <c r="L3" s="65">
        <v>0.762784</v>
      </c>
      <c r="M3" s="65">
        <v>0.003135</v>
      </c>
      <c r="N3" s="65">
        <v>0.785311</v>
      </c>
      <c r="O3" s="65">
        <v>1.797259</v>
      </c>
      <c r="P3" s="65">
        <v>1.25196</v>
      </c>
      <c r="Q3" s="65">
        <v>5.223116</v>
      </c>
      <c r="R3" s="65">
        <v>0.125976</v>
      </c>
      <c r="S3" s="65">
        <v>0.065431</v>
      </c>
      <c r="T3" s="75">
        <v>0.762784</v>
      </c>
    </row>
    <row r="4" s="8" customFormat="1" spans="1:20">
      <c r="A4" s="4"/>
      <c r="B4" s="8" t="s">
        <v>21</v>
      </c>
      <c r="C4" s="65">
        <v>0.004368</v>
      </c>
      <c r="D4" s="65">
        <v>0.934626</v>
      </c>
      <c r="E4" s="65">
        <v>2.277495</v>
      </c>
      <c r="F4" s="65">
        <v>0.650071</v>
      </c>
      <c r="G4" s="65">
        <v>3.976706</v>
      </c>
      <c r="H4" s="65">
        <v>46.372197</v>
      </c>
      <c r="I4" s="65">
        <v>1.360603</v>
      </c>
      <c r="J4" s="65">
        <v>0.650071</v>
      </c>
      <c r="K4" s="65">
        <v>0.138609</v>
      </c>
      <c r="L4" s="65">
        <v>0.903235</v>
      </c>
      <c r="M4" s="65">
        <v>0.004368</v>
      </c>
      <c r="N4" s="65">
        <v>0.934626</v>
      </c>
      <c r="O4" s="65">
        <v>2.277495</v>
      </c>
      <c r="P4" s="65">
        <v>1.727401</v>
      </c>
      <c r="Q4" s="65">
        <v>9.307681</v>
      </c>
      <c r="R4" s="65">
        <v>0.179164</v>
      </c>
      <c r="S4" s="65">
        <v>0.137364</v>
      </c>
      <c r="T4" s="75">
        <v>0.903235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65">
        <v>0.00414</v>
      </c>
      <c r="D6" s="65">
        <v>1.26099</v>
      </c>
      <c r="E6" s="65">
        <v>2.096034</v>
      </c>
      <c r="F6" s="65">
        <v>0.55039</v>
      </c>
      <c r="G6" s="65">
        <v>3.460097</v>
      </c>
      <c r="H6" s="65">
        <v>68.013416</v>
      </c>
      <c r="I6" s="65">
        <v>0.980656</v>
      </c>
      <c r="J6" s="65">
        <v>0.55039</v>
      </c>
      <c r="K6" s="65">
        <v>0.147982</v>
      </c>
      <c r="L6" s="65">
        <v>1.231238</v>
      </c>
      <c r="M6" s="65">
        <v>0.00414</v>
      </c>
      <c r="N6" s="65">
        <v>1.26099</v>
      </c>
      <c r="O6" s="65">
        <v>2.096034</v>
      </c>
      <c r="P6" s="65">
        <v>1.585685</v>
      </c>
      <c r="Q6" s="65">
        <v>8.297933</v>
      </c>
      <c r="R6" s="65">
        <v>0.180616</v>
      </c>
      <c r="S6" s="65">
        <v>0.146802</v>
      </c>
      <c r="T6" s="75">
        <v>1.231238</v>
      </c>
    </row>
    <row r="7" s="8" customFormat="1" spans="1:20">
      <c r="A7" s="4"/>
      <c r="B7" s="8" t="s">
        <v>20</v>
      </c>
      <c r="C7" s="65">
        <v>0.003135</v>
      </c>
      <c r="D7" s="65">
        <v>0.785311</v>
      </c>
      <c r="E7" s="65">
        <v>1.797259</v>
      </c>
      <c r="F7" s="65">
        <v>0.530053</v>
      </c>
      <c r="G7" s="65">
        <v>2.927872</v>
      </c>
      <c r="H7" s="65">
        <v>42.810893</v>
      </c>
      <c r="I7" s="65">
        <v>1.050524</v>
      </c>
      <c r="J7" s="65">
        <v>0.530053</v>
      </c>
      <c r="K7" s="65">
        <v>0.066325</v>
      </c>
      <c r="L7" s="65">
        <v>0.762784</v>
      </c>
      <c r="M7" s="65">
        <v>0.003135</v>
      </c>
      <c r="N7" s="65">
        <v>0.785311</v>
      </c>
      <c r="O7" s="65">
        <v>1.797259</v>
      </c>
      <c r="P7" s="65">
        <v>1.25196</v>
      </c>
      <c r="Q7" s="65">
        <v>5.223116</v>
      </c>
      <c r="R7" s="65">
        <v>0.125976</v>
      </c>
      <c r="S7" s="65">
        <v>0.065431</v>
      </c>
      <c r="T7" s="75">
        <v>0.762784</v>
      </c>
    </row>
    <row r="8" s="8" customFormat="1" spans="1:20">
      <c r="A8" s="4"/>
      <c r="B8" s="8" t="s">
        <v>21</v>
      </c>
      <c r="C8" s="65">
        <v>0.004368</v>
      </c>
      <c r="D8" s="65">
        <v>0.934626</v>
      </c>
      <c r="E8" s="65">
        <v>2.277495</v>
      </c>
      <c r="F8" s="65">
        <v>0.650071</v>
      </c>
      <c r="G8" s="65">
        <v>3.976706</v>
      </c>
      <c r="H8" s="65">
        <v>76.289744</v>
      </c>
      <c r="I8" s="65">
        <v>1.360603</v>
      </c>
      <c r="J8" s="65">
        <v>0.650071</v>
      </c>
      <c r="K8" s="65">
        <v>0.138609</v>
      </c>
      <c r="L8" s="65">
        <v>0.903235</v>
      </c>
      <c r="M8" s="65">
        <v>0.004368</v>
      </c>
      <c r="N8" s="65">
        <v>0.934626</v>
      </c>
      <c r="O8" s="65">
        <v>2.277495</v>
      </c>
      <c r="P8" s="65">
        <v>1.727401</v>
      </c>
      <c r="Q8" s="65">
        <v>9.307681</v>
      </c>
      <c r="R8" s="65">
        <v>0.179164</v>
      </c>
      <c r="S8" s="65">
        <v>0.137364</v>
      </c>
      <c r="T8" s="75">
        <v>0.903235</v>
      </c>
    </row>
    <row r="10" s="2" customFormat="1" spans="1:20">
      <c r="A10" s="4" t="s">
        <v>23</v>
      </c>
      <c r="B10" s="2" t="s">
        <v>19</v>
      </c>
      <c r="C10" s="65">
        <v>0.00414</v>
      </c>
      <c r="D10" s="65">
        <v>1.26099</v>
      </c>
      <c r="E10" s="65">
        <v>2.096034</v>
      </c>
      <c r="F10" s="65">
        <v>0.55039</v>
      </c>
      <c r="G10" s="65">
        <v>3.460097</v>
      </c>
      <c r="H10" s="65">
        <v>94.685344</v>
      </c>
      <c r="I10" s="65">
        <v>0.980656</v>
      </c>
      <c r="J10" s="65">
        <v>0.55039</v>
      </c>
      <c r="K10" s="65">
        <v>0.147982</v>
      </c>
      <c r="L10" s="65">
        <v>1.231238</v>
      </c>
      <c r="M10" s="65">
        <v>0.00414</v>
      </c>
      <c r="N10" s="65">
        <v>1.26099</v>
      </c>
      <c r="O10" s="65">
        <v>2.096034</v>
      </c>
      <c r="P10" s="65">
        <v>1.585685</v>
      </c>
      <c r="Q10" s="65">
        <v>8.297933</v>
      </c>
      <c r="R10" s="65">
        <v>0.180616</v>
      </c>
      <c r="S10" s="65">
        <v>0.146802</v>
      </c>
      <c r="T10" s="75">
        <v>1.231238</v>
      </c>
    </row>
    <row r="11" s="8" customFormat="1" spans="1:20">
      <c r="A11" s="4"/>
      <c r="B11" s="8" t="s">
        <v>20</v>
      </c>
      <c r="C11" s="65">
        <v>0.003135</v>
      </c>
      <c r="D11" s="65">
        <v>0.785311</v>
      </c>
      <c r="E11" s="65">
        <v>1.797259</v>
      </c>
      <c r="F11" s="65">
        <v>0.530053</v>
      </c>
      <c r="G11" s="65">
        <v>2.927872</v>
      </c>
      <c r="H11" s="65">
        <v>59.599479</v>
      </c>
      <c r="I11" s="65">
        <v>1.050524</v>
      </c>
      <c r="J11" s="65">
        <v>0.530053</v>
      </c>
      <c r="K11" s="65">
        <v>0.066325</v>
      </c>
      <c r="L11" s="65">
        <v>0.762784</v>
      </c>
      <c r="M11" s="65">
        <v>0.003135</v>
      </c>
      <c r="N11" s="65">
        <v>0.785311</v>
      </c>
      <c r="O11" s="65">
        <v>1.797259</v>
      </c>
      <c r="P11" s="65">
        <v>1.25196</v>
      </c>
      <c r="Q11" s="65">
        <v>5.223116</v>
      </c>
      <c r="R11" s="65">
        <v>0.125976</v>
      </c>
      <c r="S11" s="65">
        <v>0.065431</v>
      </c>
      <c r="T11" s="75">
        <v>0.762784</v>
      </c>
    </row>
    <row r="12" s="8" customFormat="1" spans="1:20">
      <c r="A12" s="4"/>
      <c r="B12" s="8" t="s">
        <v>21</v>
      </c>
      <c r="C12" s="65">
        <v>0.004368</v>
      </c>
      <c r="D12" s="65">
        <v>0.934626</v>
      </c>
      <c r="E12" s="65">
        <v>2.277495</v>
      </c>
      <c r="F12" s="65">
        <v>0.650071</v>
      </c>
      <c r="G12" s="65">
        <v>3.976706</v>
      </c>
      <c r="H12" s="65">
        <v>106.207291</v>
      </c>
      <c r="I12" s="65">
        <v>1.360603</v>
      </c>
      <c r="J12" s="65">
        <v>0.650071</v>
      </c>
      <c r="K12" s="65">
        <v>0.138609</v>
      </c>
      <c r="L12" s="65">
        <v>0.903235</v>
      </c>
      <c r="M12" s="65">
        <v>0.004368</v>
      </c>
      <c r="N12" s="65">
        <v>0.934626</v>
      </c>
      <c r="O12" s="65">
        <v>2.277495</v>
      </c>
      <c r="P12" s="65">
        <v>1.727401</v>
      </c>
      <c r="Q12" s="65">
        <v>9.307681</v>
      </c>
      <c r="R12" s="65">
        <v>0.179164</v>
      </c>
      <c r="S12" s="65">
        <v>0.137364</v>
      </c>
      <c r="T12" s="75">
        <v>0.903235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66.426843</v>
      </c>
    </row>
    <row r="17" spans="2:3">
      <c r="B17" s="8" t="s">
        <v>20</v>
      </c>
      <c r="C17" s="5">
        <f>SUM(C3:T3)</f>
        <v>44.490596</v>
      </c>
    </row>
    <row r="18" spans="2:3">
      <c r="B18" s="8" t="s">
        <v>21</v>
      </c>
      <c r="C18" s="5">
        <f>SUM(C4:T4)</f>
        <v>72.739315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>SUM(C6:T6)</f>
        <v>93.098771</v>
      </c>
    </row>
    <row r="23" spans="2:3">
      <c r="B23" s="8" t="s">
        <v>20</v>
      </c>
      <c r="C23" s="5">
        <f>SUM(C7:T7)</f>
        <v>61.279181</v>
      </c>
    </row>
    <row r="24" spans="2:3">
      <c r="B24" s="8" t="s">
        <v>21</v>
      </c>
      <c r="C24" s="5">
        <f>SUM(C8:T8)</f>
        <v>102.656862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>SUM(C10:T10)</f>
        <v>119.770699</v>
      </c>
    </row>
    <row r="29" spans="2:3">
      <c r="B29" s="8" t="s">
        <v>20</v>
      </c>
      <c r="C29" s="5">
        <f>SUM(C11:T11)</f>
        <v>78.067767</v>
      </c>
    </row>
    <row r="30" spans="2:3">
      <c r="B30" s="8" t="s">
        <v>21</v>
      </c>
      <c r="C30" s="5">
        <f>SUM(C12:T12)</f>
        <v>132.574409</v>
      </c>
    </row>
    <row r="31" spans="3:3">
      <c r="C31" s="5"/>
    </row>
    <row r="32" spans="3:3">
      <c r="C32" s="5"/>
    </row>
    <row r="39" spans="20:23">
      <c r="T39" s="66" t="s">
        <v>25</v>
      </c>
      <c r="U39" s="67"/>
      <c r="V39" s="67"/>
      <c r="W39" s="68"/>
    </row>
    <row r="40" spans="20:23">
      <c r="T40" s="69"/>
      <c r="U40" s="2" t="s">
        <v>19</v>
      </c>
      <c r="V40" s="8" t="s">
        <v>20</v>
      </c>
      <c r="W40" s="70" t="s">
        <v>21</v>
      </c>
    </row>
    <row r="41" spans="20:23">
      <c r="T41" s="23" t="s">
        <v>0</v>
      </c>
      <c r="U41" s="65">
        <f>C2</f>
        <v>0.00414</v>
      </c>
      <c r="V41" s="65">
        <f>C3</f>
        <v>0.003135</v>
      </c>
      <c r="W41" s="71">
        <f>C4</f>
        <v>0.004368</v>
      </c>
    </row>
    <row r="42" spans="20:23">
      <c r="T42" s="23" t="s">
        <v>1</v>
      </c>
      <c r="U42" s="65">
        <f>D2</f>
        <v>1.26099</v>
      </c>
      <c r="V42" s="65">
        <f>D3</f>
        <v>0.785311</v>
      </c>
      <c r="W42" s="71">
        <f>D4</f>
        <v>0.934626</v>
      </c>
    </row>
    <row r="43" spans="20:23">
      <c r="T43" s="23" t="s">
        <v>2</v>
      </c>
      <c r="U43" s="65">
        <f>E2</f>
        <v>2.096034</v>
      </c>
      <c r="V43" s="65">
        <f>E3</f>
        <v>1.797259</v>
      </c>
      <c r="W43" s="71">
        <f>E4</f>
        <v>2.277495</v>
      </c>
    </row>
    <row r="44" spans="20:23">
      <c r="T44" s="23" t="s">
        <v>3</v>
      </c>
      <c r="U44" s="65">
        <f>F2</f>
        <v>0.55039</v>
      </c>
      <c r="V44" s="65">
        <f>F3</f>
        <v>0.530053</v>
      </c>
      <c r="W44" s="71">
        <f>F4</f>
        <v>0.650071</v>
      </c>
    </row>
    <row r="45" spans="20:23">
      <c r="T45" s="23" t="s">
        <v>4</v>
      </c>
      <c r="U45" s="65">
        <f>G2</f>
        <v>3.460097</v>
      </c>
      <c r="V45" s="65">
        <f>G3</f>
        <v>2.927872</v>
      </c>
      <c r="W45" s="71">
        <f>G4</f>
        <v>3.976706</v>
      </c>
    </row>
    <row r="46" spans="20:23">
      <c r="T46" s="37" t="s">
        <v>26</v>
      </c>
      <c r="U46" s="72">
        <f>H2</f>
        <v>41.341488</v>
      </c>
      <c r="V46" s="72">
        <f>H3</f>
        <v>26.022308</v>
      </c>
      <c r="W46" s="73">
        <f>H4</f>
        <v>46.372197</v>
      </c>
    </row>
    <row r="47" spans="20:23">
      <c r="T47" s="37" t="s">
        <v>27</v>
      </c>
      <c r="U47" s="72">
        <f>H6</f>
        <v>68.013416</v>
      </c>
      <c r="V47" s="72">
        <f>H7</f>
        <v>42.810893</v>
      </c>
      <c r="W47" s="73">
        <f>H8</f>
        <v>76.289744</v>
      </c>
    </row>
    <row r="48" spans="20:23">
      <c r="T48" s="37" t="s">
        <v>28</v>
      </c>
      <c r="U48" s="72">
        <f>H10</f>
        <v>94.685344</v>
      </c>
      <c r="V48" s="72">
        <f>H11</f>
        <v>59.599479</v>
      </c>
      <c r="W48" s="73">
        <f>H12</f>
        <v>106.207291</v>
      </c>
    </row>
    <row r="49" spans="20:23">
      <c r="T49" s="23" t="s">
        <v>6</v>
      </c>
      <c r="U49" s="65">
        <f>I2</f>
        <v>0.980656</v>
      </c>
      <c r="V49" s="65">
        <f>I3</f>
        <v>1.050524</v>
      </c>
      <c r="W49" s="71">
        <f>I4</f>
        <v>1.360603</v>
      </c>
    </row>
    <row r="50" spans="20:23">
      <c r="T50" s="23" t="s">
        <v>7</v>
      </c>
      <c r="U50" s="65">
        <f>J2</f>
        <v>0.55039</v>
      </c>
      <c r="V50" s="65">
        <f>J3</f>
        <v>0.530053</v>
      </c>
      <c r="W50" s="71">
        <f>J4</f>
        <v>0.650071</v>
      </c>
    </row>
    <row r="51" spans="20:23">
      <c r="T51" s="23" t="s">
        <v>8</v>
      </c>
      <c r="U51" s="65">
        <f>K2</f>
        <v>0.147982</v>
      </c>
      <c r="V51" s="65">
        <f>K3</f>
        <v>0.066325</v>
      </c>
      <c r="W51" s="71">
        <f>K4</f>
        <v>0.138609</v>
      </c>
    </row>
    <row r="52" spans="20:23">
      <c r="T52" s="23" t="s">
        <v>9</v>
      </c>
      <c r="U52" s="65">
        <f>L2</f>
        <v>1.231238</v>
      </c>
      <c r="V52" s="65">
        <f>L3</f>
        <v>0.762784</v>
      </c>
      <c r="W52" s="71">
        <f>L4</f>
        <v>0.903235</v>
      </c>
    </row>
    <row r="53" spans="20:23">
      <c r="T53" s="23" t="s">
        <v>10</v>
      </c>
      <c r="U53" s="65">
        <f>M2</f>
        <v>0.00414</v>
      </c>
      <c r="V53" s="65">
        <f>M3</f>
        <v>0.003135</v>
      </c>
      <c r="W53" s="71">
        <f>M4</f>
        <v>0.004368</v>
      </c>
    </row>
    <row r="54" spans="20:23">
      <c r="T54" s="23" t="s">
        <v>11</v>
      </c>
      <c r="U54" s="65">
        <f>N2</f>
        <v>1.26099</v>
      </c>
      <c r="V54" s="65">
        <f>N3</f>
        <v>0.785311</v>
      </c>
      <c r="W54" s="71">
        <f>N4</f>
        <v>0.934626</v>
      </c>
    </row>
    <row r="55" spans="20:23">
      <c r="T55" s="23" t="s">
        <v>12</v>
      </c>
      <c r="U55" s="65">
        <f>O2</f>
        <v>2.096034</v>
      </c>
      <c r="V55" s="65">
        <f>O3</f>
        <v>1.797259</v>
      </c>
      <c r="W55" s="71">
        <f>O4</f>
        <v>2.277495</v>
      </c>
    </row>
    <row r="56" spans="20:23">
      <c r="T56" s="23" t="s">
        <v>13</v>
      </c>
      <c r="U56" s="65">
        <f>P2</f>
        <v>1.585685</v>
      </c>
      <c r="V56" s="65">
        <f>P3</f>
        <v>1.25196</v>
      </c>
      <c r="W56" s="71">
        <f>P4</f>
        <v>1.727401</v>
      </c>
    </row>
    <row r="57" spans="20:23">
      <c r="T57" s="23" t="s">
        <v>14</v>
      </c>
      <c r="U57" s="65">
        <f>Q2</f>
        <v>8.297933</v>
      </c>
      <c r="V57" s="65">
        <f>Q3</f>
        <v>5.223116</v>
      </c>
      <c r="W57" s="71">
        <f>Q4</f>
        <v>9.307681</v>
      </c>
    </row>
    <row r="58" spans="20:23">
      <c r="T58" s="23" t="s">
        <v>15</v>
      </c>
      <c r="U58" s="65">
        <f>R2</f>
        <v>0.180616</v>
      </c>
      <c r="V58" s="65">
        <f>R3</f>
        <v>0.125976</v>
      </c>
      <c r="W58" s="71">
        <f>R4</f>
        <v>0.179164</v>
      </c>
    </row>
    <row r="59" spans="20:23">
      <c r="T59" s="23" t="s">
        <v>16</v>
      </c>
      <c r="U59" s="65">
        <f>S2</f>
        <v>0.146802</v>
      </c>
      <c r="V59" s="65">
        <f>S3</f>
        <v>0.065431</v>
      </c>
      <c r="W59" s="71">
        <f>S4</f>
        <v>0.137364</v>
      </c>
    </row>
    <row r="60" spans="20:23">
      <c r="T60" s="48" t="s">
        <v>17</v>
      </c>
      <c r="U60" s="63">
        <f>T2</f>
        <v>1.231238</v>
      </c>
      <c r="V60" s="63">
        <f>T3</f>
        <v>0.762784</v>
      </c>
      <c r="W60" s="74">
        <f>T4</f>
        <v>0.903235</v>
      </c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0"/>
  <sheetViews>
    <sheetView zoomScale="45" zoomScaleNormal="45" zoomScalePageLayoutView="27" workbookViewId="0">
      <selection activeCell="W25" sqref="W25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24" width="9" style="2"/>
    <col min="25" max="27" width="10.6666666666667" style="2"/>
    <col min="28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65">
        <v>0.00414</v>
      </c>
      <c r="D2" s="65">
        <v>2.507104</v>
      </c>
      <c r="E2" s="65">
        <v>2.819842</v>
      </c>
      <c r="F2" s="65">
        <v>0.552865</v>
      </c>
      <c r="G2" s="65">
        <v>5.71025</v>
      </c>
      <c r="H2" s="65">
        <v>30.978339</v>
      </c>
      <c r="I2" s="65">
        <v>3.223824</v>
      </c>
      <c r="J2" s="65">
        <v>0.552865</v>
      </c>
      <c r="K2" s="65">
        <v>0.074355</v>
      </c>
      <c r="L2" s="65">
        <v>2.477353</v>
      </c>
      <c r="M2" s="65">
        <v>0.00414</v>
      </c>
      <c r="N2" s="65">
        <v>2.507104</v>
      </c>
      <c r="O2" s="65">
        <v>2.819842</v>
      </c>
      <c r="P2" s="65">
        <v>1.962046</v>
      </c>
      <c r="Q2" s="65">
        <v>5.932022</v>
      </c>
      <c r="R2" s="65">
        <v>0.102141</v>
      </c>
      <c r="S2" s="65">
        <v>0.079975</v>
      </c>
      <c r="T2" s="65">
        <v>2.477353</v>
      </c>
    </row>
    <row r="3" s="8" customFormat="1" spans="1:20">
      <c r="A3" s="4"/>
      <c r="B3" s="8" t="s">
        <v>20</v>
      </c>
      <c r="C3" s="65">
        <v>0.003135</v>
      </c>
      <c r="D3" s="65">
        <v>1.559359</v>
      </c>
      <c r="E3" s="65">
        <v>2.555484</v>
      </c>
      <c r="F3" s="65">
        <v>0.531767</v>
      </c>
      <c r="G3" s="65">
        <v>4.937473</v>
      </c>
      <c r="H3" s="65">
        <v>19.841049</v>
      </c>
      <c r="I3" s="65">
        <v>3.054837</v>
      </c>
      <c r="J3" s="65">
        <v>0.531767</v>
      </c>
      <c r="K3" s="65">
        <v>0.476696</v>
      </c>
      <c r="L3" s="65">
        <v>1.536832</v>
      </c>
      <c r="M3" s="65">
        <v>0.003135</v>
      </c>
      <c r="N3" s="65">
        <v>1.559359</v>
      </c>
      <c r="O3" s="65">
        <v>2.555484</v>
      </c>
      <c r="P3" s="65">
        <v>1.587904</v>
      </c>
      <c r="Q3" s="65">
        <v>3.79935</v>
      </c>
      <c r="R3" s="65">
        <v>0.055852</v>
      </c>
      <c r="S3" s="65">
        <v>0.480951</v>
      </c>
      <c r="T3" s="65">
        <v>1.536832</v>
      </c>
    </row>
    <row r="4" s="8" customFormat="1" spans="1:20">
      <c r="A4" s="4"/>
      <c r="B4" s="8" t="s">
        <v>21</v>
      </c>
      <c r="C4" s="65">
        <v>0.004368</v>
      </c>
      <c r="D4" s="65">
        <v>1.853556</v>
      </c>
      <c r="E4" s="65">
        <v>3.107146</v>
      </c>
      <c r="F4" s="65">
        <v>0.652756</v>
      </c>
      <c r="G4" s="65">
        <v>6.677778</v>
      </c>
      <c r="H4" s="65">
        <v>34.930488</v>
      </c>
      <c r="I4" s="65">
        <v>4.054305</v>
      </c>
      <c r="J4" s="65">
        <v>0.652756</v>
      </c>
      <c r="K4" s="65">
        <v>0.210333</v>
      </c>
      <c r="L4" s="65">
        <v>1.822165</v>
      </c>
      <c r="M4" s="65">
        <v>0.004368</v>
      </c>
      <c r="N4" s="65">
        <v>1.853556</v>
      </c>
      <c r="O4" s="65">
        <v>3.107146</v>
      </c>
      <c r="P4" s="65">
        <v>2.178988</v>
      </c>
      <c r="Q4" s="65">
        <v>6.688817</v>
      </c>
      <c r="R4" s="65">
        <v>0.084923</v>
      </c>
      <c r="S4" s="65">
        <v>0.216263</v>
      </c>
      <c r="T4" s="65">
        <v>1.822165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65">
        <v>0.00414</v>
      </c>
      <c r="D6" s="65">
        <v>2.507104</v>
      </c>
      <c r="E6" s="65">
        <v>2.819842</v>
      </c>
      <c r="F6" s="65">
        <v>0.552865</v>
      </c>
      <c r="G6" s="65">
        <v>5.71025</v>
      </c>
      <c r="H6" s="65">
        <v>57.342883</v>
      </c>
      <c r="I6" s="65">
        <v>3.223824</v>
      </c>
      <c r="J6" s="65">
        <v>0.552865</v>
      </c>
      <c r="K6" s="65">
        <v>0.074355</v>
      </c>
      <c r="L6" s="65">
        <v>2.477353</v>
      </c>
      <c r="M6" s="65">
        <v>0.00414</v>
      </c>
      <c r="N6" s="65">
        <v>2.507104</v>
      </c>
      <c r="O6" s="65">
        <v>2.819842</v>
      </c>
      <c r="P6" s="65">
        <v>1.962046</v>
      </c>
      <c r="Q6" s="65">
        <v>5.932022</v>
      </c>
      <c r="R6" s="65">
        <v>0.102141</v>
      </c>
      <c r="S6" s="65">
        <v>0.079975</v>
      </c>
      <c r="T6" s="65">
        <v>2.477353</v>
      </c>
    </row>
    <row r="7" s="8" customFormat="1" spans="1:20">
      <c r="A7" s="4"/>
      <c r="B7" s="8" t="s">
        <v>20</v>
      </c>
      <c r="C7" s="65">
        <v>0.003135</v>
      </c>
      <c r="D7" s="65">
        <v>1.559359</v>
      </c>
      <c r="E7" s="65">
        <v>2.555484</v>
      </c>
      <c r="F7" s="65">
        <v>0.531767</v>
      </c>
      <c r="G7" s="65">
        <v>4.937473</v>
      </c>
      <c r="H7" s="65">
        <v>36.727049</v>
      </c>
      <c r="I7" s="65">
        <v>3.054837</v>
      </c>
      <c r="J7" s="65">
        <v>0.531767</v>
      </c>
      <c r="K7" s="65">
        <v>0.476696</v>
      </c>
      <c r="L7" s="65">
        <v>1.536832</v>
      </c>
      <c r="M7" s="65">
        <v>0.003135</v>
      </c>
      <c r="N7" s="65">
        <v>1.559359</v>
      </c>
      <c r="O7" s="65">
        <v>2.555484</v>
      </c>
      <c r="P7" s="65">
        <v>1.587904</v>
      </c>
      <c r="Q7" s="65">
        <v>3.79935</v>
      </c>
      <c r="R7" s="65">
        <v>0.055852</v>
      </c>
      <c r="S7" s="65">
        <v>0.480951</v>
      </c>
      <c r="T7" s="65">
        <v>1.536832</v>
      </c>
    </row>
    <row r="8" s="8" customFormat="1" spans="1:20">
      <c r="A8" s="4"/>
      <c r="B8" s="8" t="s">
        <v>21</v>
      </c>
      <c r="C8" s="65">
        <v>0.004368</v>
      </c>
      <c r="D8" s="65">
        <v>1.853556</v>
      </c>
      <c r="E8" s="65">
        <v>3.107146</v>
      </c>
      <c r="F8" s="65">
        <v>0.652756</v>
      </c>
      <c r="G8" s="65">
        <v>6.677778</v>
      </c>
      <c r="H8" s="65">
        <v>64.658563</v>
      </c>
      <c r="I8" s="65">
        <v>4.054305</v>
      </c>
      <c r="J8" s="65">
        <v>0.652756</v>
      </c>
      <c r="K8" s="65">
        <v>0.210333</v>
      </c>
      <c r="L8" s="65">
        <v>1.822165</v>
      </c>
      <c r="M8" s="65">
        <v>0.004368</v>
      </c>
      <c r="N8" s="65">
        <v>1.853556</v>
      </c>
      <c r="O8" s="65">
        <v>3.107146</v>
      </c>
      <c r="P8" s="65">
        <v>2.178988</v>
      </c>
      <c r="Q8" s="65">
        <v>6.688817</v>
      </c>
      <c r="R8" s="65">
        <v>0.084923</v>
      </c>
      <c r="S8" s="65">
        <v>0.216263</v>
      </c>
      <c r="T8" s="65">
        <v>1.822165</v>
      </c>
    </row>
    <row r="10" s="2" customFormat="1" spans="1:20">
      <c r="A10" s="4" t="s">
        <v>23</v>
      </c>
      <c r="B10" s="2" t="s">
        <v>19</v>
      </c>
      <c r="C10" s="65">
        <v>0.00414</v>
      </c>
      <c r="D10" s="65">
        <v>2.507104</v>
      </c>
      <c r="E10" s="65">
        <v>2.819842</v>
      </c>
      <c r="F10" s="65">
        <v>0.552865</v>
      </c>
      <c r="G10" s="65">
        <v>5.71025</v>
      </c>
      <c r="H10" s="65">
        <v>83.707427</v>
      </c>
      <c r="I10" s="65">
        <v>3.223824</v>
      </c>
      <c r="J10" s="65">
        <v>0.552865</v>
      </c>
      <c r="K10" s="65">
        <v>0.074355</v>
      </c>
      <c r="L10" s="65">
        <v>2.477353</v>
      </c>
      <c r="M10" s="65">
        <v>0.00414</v>
      </c>
      <c r="N10" s="65">
        <v>2.507104</v>
      </c>
      <c r="O10" s="65">
        <v>2.819842</v>
      </c>
      <c r="P10" s="65">
        <v>1.962046</v>
      </c>
      <c r="Q10" s="65">
        <v>5.932022</v>
      </c>
      <c r="R10" s="65">
        <v>0.102141</v>
      </c>
      <c r="S10" s="65">
        <v>0.079975</v>
      </c>
      <c r="T10" s="65">
        <v>2.477353</v>
      </c>
    </row>
    <row r="11" s="8" customFormat="1" spans="1:20">
      <c r="A11" s="4"/>
      <c r="B11" s="8" t="s">
        <v>20</v>
      </c>
      <c r="C11" s="65">
        <v>0.003135</v>
      </c>
      <c r="D11" s="65">
        <v>1.559359</v>
      </c>
      <c r="E11" s="65">
        <v>2.555484</v>
      </c>
      <c r="F11" s="65">
        <v>0.531767</v>
      </c>
      <c r="G11" s="65">
        <v>4.937473</v>
      </c>
      <c r="H11" s="65">
        <v>53.613048</v>
      </c>
      <c r="I11" s="65">
        <v>3.054837</v>
      </c>
      <c r="J11" s="65">
        <v>0.531767</v>
      </c>
      <c r="K11" s="65">
        <v>0.476696</v>
      </c>
      <c r="L11" s="65">
        <v>1.536832</v>
      </c>
      <c r="M11" s="65">
        <v>0.003135</v>
      </c>
      <c r="N11" s="65">
        <v>1.559359</v>
      </c>
      <c r="O11" s="65">
        <v>2.555484</v>
      </c>
      <c r="P11" s="65">
        <v>1.587904</v>
      </c>
      <c r="Q11" s="65">
        <v>3.79935</v>
      </c>
      <c r="R11" s="65">
        <v>0.055852</v>
      </c>
      <c r="S11" s="65">
        <v>0.480951</v>
      </c>
      <c r="T11" s="65">
        <v>1.536832</v>
      </c>
    </row>
    <row r="12" s="8" customFormat="1" spans="1:20">
      <c r="A12" s="4"/>
      <c r="B12" s="8" t="s">
        <v>21</v>
      </c>
      <c r="C12" s="65">
        <v>0.004368</v>
      </c>
      <c r="D12" s="65">
        <v>1.853556</v>
      </c>
      <c r="E12" s="65">
        <v>3.107146</v>
      </c>
      <c r="F12" s="65">
        <v>0.652756</v>
      </c>
      <c r="G12" s="65">
        <v>6.677778</v>
      </c>
      <c r="H12" s="65">
        <v>94.386638</v>
      </c>
      <c r="I12" s="65">
        <v>4.054305</v>
      </c>
      <c r="J12" s="65">
        <v>0.652756</v>
      </c>
      <c r="K12" s="65">
        <v>0.210333</v>
      </c>
      <c r="L12" s="65">
        <v>1.822165</v>
      </c>
      <c r="M12" s="65">
        <v>0.004368</v>
      </c>
      <c r="N12" s="65">
        <v>1.853556</v>
      </c>
      <c r="O12" s="65">
        <v>3.107146</v>
      </c>
      <c r="P12" s="65">
        <v>2.178988</v>
      </c>
      <c r="Q12" s="65">
        <v>6.688817</v>
      </c>
      <c r="R12" s="65">
        <v>0.084923</v>
      </c>
      <c r="S12" s="65">
        <v>0.216263</v>
      </c>
      <c r="T12" s="65">
        <v>1.822165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64.78556</v>
      </c>
    </row>
    <row r="17" spans="2:3">
      <c r="B17" s="8" t="s">
        <v>20</v>
      </c>
      <c r="C17" s="5">
        <f>SUM(C3:T3)</f>
        <v>46.607266</v>
      </c>
    </row>
    <row r="18" spans="2:3">
      <c r="B18" s="8" t="s">
        <v>21</v>
      </c>
      <c r="C18" s="5">
        <f>SUM(C4:T4)</f>
        <v>69.921877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 t="shared" ref="C22:C24" si="0">SUM(C6:T6)</f>
        <v>91.150104</v>
      </c>
    </row>
    <row r="23" spans="2:3">
      <c r="B23" s="8" t="s">
        <v>20</v>
      </c>
      <c r="C23" s="5">
        <f t="shared" si="0"/>
        <v>63.493266</v>
      </c>
    </row>
    <row r="24" spans="2:3">
      <c r="B24" s="8" t="s">
        <v>21</v>
      </c>
      <c r="C24" s="5">
        <f t="shared" si="0"/>
        <v>99.649952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 t="shared" ref="C28:C30" si="1">SUM(C10:T10)</f>
        <v>117.514648</v>
      </c>
    </row>
    <row r="29" spans="2:3">
      <c r="B29" s="8" t="s">
        <v>20</v>
      </c>
      <c r="C29" s="5">
        <f t="shared" si="1"/>
        <v>80.379265</v>
      </c>
    </row>
    <row r="30" spans="2:3">
      <c r="B30" s="8" t="s">
        <v>21</v>
      </c>
      <c r="C30" s="5">
        <f t="shared" si="1"/>
        <v>129.378027</v>
      </c>
    </row>
    <row r="31" spans="3:3">
      <c r="C31" s="5"/>
    </row>
    <row r="32" spans="3:3">
      <c r="C32" s="5"/>
    </row>
    <row r="39" spans="20:23">
      <c r="T39" s="66" t="s">
        <v>25</v>
      </c>
      <c r="U39" s="67"/>
      <c r="V39" s="67"/>
      <c r="W39" s="68"/>
    </row>
    <row r="40" spans="20:23">
      <c r="T40" s="69"/>
      <c r="U40" s="2" t="s">
        <v>19</v>
      </c>
      <c r="V40" s="8" t="s">
        <v>20</v>
      </c>
      <c r="W40" s="70" t="s">
        <v>21</v>
      </c>
    </row>
    <row r="41" spans="20:27">
      <c r="T41" s="23" t="s">
        <v>0</v>
      </c>
      <c r="U41" s="65">
        <f>C2</f>
        <v>0.00414</v>
      </c>
      <c r="V41" s="65">
        <f>C3</f>
        <v>0.003135</v>
      </c>
      <c r="W41" s="71">
        <f>C4</f>
        <v>0.004368</v>
      </c>
      <c r="Y41" s="65"/>
      <c r="Z41" s="65"/>
      <c r="AA41" s="65"/>
    </row>
    <row r="42" spans="20:27">
      <c r="T42" s="23" t="s">
        <v>1</v>
      </c>
      <c r="U42" s="65">
        <f>D2</f>
        <v>2.507104</v>
      </c>
      <c r="V42" s="65">
        <f>D3</f>
        <v>1.559359</v>
      </c>
      <c r="W42" s="71">
        <f>D4</f>
        <v>1.853556</v>
      </c>
      <c r="Y42" s="65"/>
      <c r="Z42" s="65"/>
      <c r="AA42" s="65"/>
    </row>
    <row r="43" spans="20:27">
      <c r="T43" s="23" t="s">
        <v>2</v>
      </c>
      <c r="U43" s="65">
        <f>E2</f>
        <v>2.819842</v>
      </c>
      <c r="V43" s="65">
        <f>E3</f>
        <v>2.555484</v>
      </c>
      <c r="W43" s="71">
        <f>E4</f>
        <v>3.107146</v>
      </c>
      <c r="Y43" s="65"/>
      <c r="Z43" s="65"/>
      <c r="AA43" s="65"/>
    </row>
    <row r="44" spans="20:27">
      <c r="T44" s="23" t="s">
        <v>3</v>
      </c>
      <c r="U44" s="65">
        <f>F2</f>
        <v>0.552865</v>
      </c>
      <c r="V44" s="65">
        <f>F3</f>
        <v>0.531767</v>
      </c>
      <c r="W44" s="71">
        <f>F4</f>
        <v>0.652756</v>
      </c>
      <c r="Y44" s="65"/>
      <c r="Z44" s="65"/>
      <c r="AA44" s="65"/>
    </row>
    <row r="45" spans="20:27">
      <c r="T45" s="23" t="s">
        <v>4</v>
      </c>
      <c r="U45" s="65">
        <f>G2</f>
        <v>5.71025</v>
      </c>
      <c r="V45" s="65">
        <f>G3</f>
        <v>4.937473</v>
      </c>
      <c r="W45" s="71">
        <f>G4</f>
        <v>6.677778</v>
      </c>
      <c r="Y45" s="65"/>
      <c r="Z45" s="65"/>
      <c r="AA45" s="65"/>
    </row>
    <row r="46" spans="20:27">
      <c r="T46" s="37" t="s">
        <v>26</v>
      </c>
      <c r="U46" s="72">
        <f>H2</f>
        <v>30.978339</v>
      </c>
      <c r="V46" s="72">
        <f>H3</f>
        <v>19.841049</v>
      </c>
      <c r="W46" s="73">
        <f>H4</f>
        <v>34.930488</v>
      </c>
      <c r="Y46" s="65"/>
      <c r="Z46" s="65"/>
      <c r="AA46" s="65"/>
    </row>
    <row r="47" spans="20:27">
      <c r="T47" s="37" t="s">
        <v>27</v>
      </c>
      <c r="U47" s="72">
        <f>H6</f>
        <v>57.342883</v>
      </c>
      <c r="V47" s="72">
        <f>H7</f>
        <v>36.727049</v>
      </c>
      <c r="W47" s="73">
        <f>H8</f>
        <v>64.658563</v>
      </c>
      <c r="Y47" s="65"/>
      <c r="Z47" s="65"/>
      <c r="AA47" s="65"/>
    </row>
    <row r="48" spans="20:27">
      <c r="T48" s="37" t="s">
        <v>28</v>
      </c>
      <c r="U48" s="72">
        <f>H10</f>
        <v>83.707427</v>
      </c>
      <c r="V48" s="72">
        <f>H11</f>
        <v>53.613048</v>
      </c>
      <c r="W48" s="73">
        <f>H12</f>
        <v>94.386638</v>
      </c>
      <c r="Y48" s="65"/>
      <c r="Z48" s="65"/>
      <c r="AA48" s="65"/>
    </row>
    <row r="49" spans="20:27">
      <c r="T49" s="23" t="s">
        <v>6</v>
      </c>
      <c r="U49" s="65">
        <f>I2</f>
        <v>3.223824</v>
      </c>
      <c r="V49" s="65">
        <f>I3</f>
        <v>3.054837</v>
      </c>
      <c r="W49" s="71">
        <f>I4</f>
        <v>4.054305</v>
      </c>
      <c r="Y49" s="65"/>
      <c r="Z49" s="65"/>
      <c r="AA49" s="65"/>
    </row>
    <row r="50" spans="20:27">
      <c r="T50" s="23" t="s">
        <v>7</v>
      </c>
      <c r="U50" s="65">
        <f>J2</f>
        <v>0.552865</v>
      </c>
      <c r="V50" s="65">
        <f>J3</f>
        <v>0.531767</v>
      </c>
      <c r="W50" s="71">
        <f>J4</f>
        <v>0.652756</v>
      </c>
      <c r="Y50" s="65"/>
      <c r="Z50" s="65"/>
      <c r="AA50" s="65"/>
    </row>
    <row r="51" spans="20:27">
      <c r="T51" s="23" t="s">
        <v>8</v>
      </c>
      <c r="U51" s="65">
        <f>K2</f>
        <v>0.074355</v>
      </c>
      <c r="V51" s="65">
        <f>K3</f>
        <v>0.476696</v>
      </c>
      <c r="W51" s="71">
        <f>K4</f>
        <v>0.210333</v>
      </c>
      <c r="Y51" s="65"/>
      <c r="Z51" s="65"/>
      <c r="AA51" s="65"/>
    </row>
    <row r="52" spans="20:27">
      <c r="T52" s="23" t="s">
        <v>9</v>
      </c>
      <c r="U52" s="65">
        <f>L2</f>
        <v>2.477353</v>
      </c>
      <c r="V52" s="65">
        <f>L3</f>
        <v>1.536832</v>
      </c>
      <c r="W52" s="71">
        <f>L4</f>
        <v>1.822165</v>
      </c>
      <c r="Y52" s="65"/>
      <c r="Z52" s="65"/>
      <c r="AA52" s="65"/>
    </row>
    <row r="53" spans="20:27">
      <c r="T53" s="23" t="s">
        <v>10</v>
      </c>
      <c r="U53" s="65">
        <f>M2</f>
        <v>0.00414</v>
      </c>
      <c r="V53" s="65">
        <f>M3</f>
        <v>0.003135</v>
      </c>
      <c r="W53" s="71">
        <f>M4</f>
        <v>0.004368</v>
      </c>
      <c r="Y53" s="65"/>
      <c r="Z53" s="65"/>
      <c r="AA53" s="65"/>
    </row>
    <row r="54" spans="20:27">
      <c r="T54" s="23" t="s">
        <v>11</v>
      </c>
      <c r="U54" s="65">
        <f>N2</f>
        <v>2.507104</v>
      </c>
      <c r="V54" s="65">
        <f>N3</f>
        <v>1.559359</v>
      </c>
      <c r="W54" s="71">
        <f>N4</f>
        <v>1.853556</v>
      </c>
      <c r="Y54" s="65"/>
      <c r="Z54" s="65"/>
      <c r="AA54" s="65"/>
    </row>
    <row r="55" spans="20:27">
      <c r="T55" s="23" t="s">
        <v>12</v>
      </c>
      <c r="U55" s="65">
        <f>O2</f>
        <v>2.819842</v>
      </c>
      <c r="V55" s="65">
        <f>O3</f>
        <v>2.555484</v>
      </c>
      <c r="W55" s="71">
        <f>O4</f>
        <v>3.107146</v>
      </c>
      <c r="Y55" s="65"/>
      <c r="Z55" s="65"/>
      <c r="AA55" s="65"/>
    </row>
    <row r="56" spans="20:27">
      <c r="T56" s="23" t="s">
        <v>13</v>
      </c>
      <c r="U56" s="65">
        <f>P2</f>
        <v>1.962046</v>
      </c>
      <c r="V56" s="65">
        <f>P3</f>
        <v>1.587904</v>
      </c>
      <c r="W56" s="71">
        <f>P4</f>
        <v>2.178988</v>
      </c>
      <c r="Y56" s="65"/>
      <c r="Z56" s="65"/>
      <c r="AA56" s="65"/>
    </row>
    <row r="57" spans="20:27">
      <c r="T57" s="23" t="s">
        <v>14</v>
      </c>
      <c r="U57" s="65">
        <f>Q2</f>
        <v>5.932022</v>
      </c>
      <c r="V57" s="65">
        <f>Q3</f>
        <v>3.79935</v>
      </c>
      <c r="W57" s="71">
        <f>Q4</f>
        <v>6.688817</v>
      </c>
      <c r="Y57" s="65"/>
      <c r="Z57" s="65"/>
      <c r="AA57" s="65"/>
    </row>
    <row r="58" spans="20:27">
      <c r="T58" s="23" t="s">
        <v>15</v>
      </c>
      <c r="U58" s="65">
        <f>R2</f>
        <v>0.102141</v>
      </c>
      <c r="V58" s="65">
        <f>R3</f>
        <v>0.055852</v>
      </c>
      <c r="W58" s="71">
        <f>R4</f>
        <v>0.084923</v>
      </c>
      <c r="Y58" s="65"/>
      <c r="Z58" s="65"/>
      <c r="AA58" s="65"/>
    </row>
    <row r="59" spans="20:27">
      <c r="T59" s="23" t="s">
        <v>16</v>
      </c>
      <c r="U59" s="65">
        <f>S2</f>
        <v>0.079975</v>
      </c>
      <c r="V59" s="65">
        <f>S3</f>
        <v>0.480951</v>
      </c>
      <c r="W59" s="71">
        <f>S4</f>
        <v>0.216263</v>
      </c>
      <c r="Y59" s="65"/>
      <c r="Z59" s="65"/>
      <c r="AA59" s="65"/>
    </row>
    <row r="60" spans="20:27">
      <c r="T60" s="48" t="s">
        <v>17</v>
      </c>
      <c r="U60" s="63">
        <f>T2</f>
        <v>2.477353</v>
      </c>
      <c r="V60" s="63">
        <f>T3</f>
        <v>1.536832</v>
      </c>
      <c r="W60" s="74">
        <f>T4</f>
        <v>1.822165</v>
      </c>
      <c r="Y60" s="65"/>
      <c r="Z60" s="65"/>
      <c r="AA60" s="65"/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55" zoomScaleNormal="55" topLeftCell="A7" workbookViewId="0">
      <selection activeCell="U71" sqref="U71"/>
    </sheetView>
  </sheetViews>
  <sheetFormatPr defaultColWidth="8.88888888888889" defaultRowHeight="14.4"/>
  <cols>
    <col min="2" max="2" width="26.6666666666667" customWidth="1"/>
    <col min="3" max="16" width="15.7777777777778" customWidth="1"/>
  </cols>
  <sheetData>
    <row r="1" spans="1:5">
      <c r="A1" s="1"/>
      <c r="B1" s="1"/>
      <c r="C1" s="2" t="s">
        <v>24</v>
      </c>
      <c r="D1" s="2"/>
      <c r="E1" s="3" t="s">
        <v>29</v>
      </c>
    </row>
    <row r="2" spans="1:5">
      <c r="A2" s="4" t="s">
        <v>18</v>
      </c>
      <c r="B2" s="2"/>
      <c r="C2" s="2" t="s">
        <v>30</v>
      </c>
      <c r="D2" s="2" t="s">
        <v>31</v>
      </c>
      <c r="E2" s="3"/>
    </row>
    <row r="3" spans="1:6">
      <c r="A3" s="2"/>
      <c r="B3" s="2" t="s">
        <v>19</v>
      </c>
      <c r="C3" s="5">
        <f>'1500 ft'!C16</f>
        <v>66.426843</v>
      </c>
      <c r="D3" s="5">
        <f>'3000 ft'!C16</f>
        <v>64.78556</v>
      </c>
      <c r="E3" s="6">
        <f>1-D3/C3</f>
        <v>0.024708128911079</v>
      </c>
      <c r="F3" s="7"/>
    </row>
    <row r="4" spans="1:5">
      <c r="A4" s="2"/>
      <c r="B4" s="8" t="s">
        <v>20</v>
      </c>
      <c r="C4" s="5">
        <f>'1500 ft'!C17</f>
        <v>44.490596</v>
      </c>
      <c r="D4" s="5">
        <f>'3000 ft'!C17</f>
        <v>46.607266</v>
      </c>
      <c r="E4" s="9">
        <f>1-D4/C4</f>
        <v>-0.0475756719464939</v>
      </c>
    </row>
    <row r="5" spans="1:5">
      <c r="A5" s="2"/>
      <c r="B5" s="8" t="s">
        <v>21</v>
      </c>
      <c r="C5" s="5">
        <f>'1500 ft'!C18</f>
        <v>72.739315</v>
      </c>
      <c r="D5" s="5">
        <f>'3000 ft'!C18</f>
        <v>69.921877</v>
      </c>
      <c r="E5" s="6">
        <f>1-D5/C5</f>
        <v>0.0387333589820034</v>
      </c>
    </row>
    <row r="6" spans="1:5">
      <c r="A6" s="2"/>
      <c r="B6" s="2"/>
      <c r="C6" s="5"/>
      <c r="D6" s="1"/>
      <c r="E6" s="6"/>
    </row>
    <row r="7" spans="1:5">
      <c r="A7" s="4" t="s">
        <v>22</v>
      </c>
      <c r="B7" s="2" t="s">
        <v>19</v>
      </c>
      <c r="C7" s="5">
        <f>'1500 ft'!C22</f>
        <v>93.098771</v>
      </c>
      <c r="D7" s="5">
        <f>'3000 ft'!C22</f>
        <v>91.150104</v>
      </c>
      <c r="E7" s="6">
        <f>1-D7/C7</f>
        <v>0.0209311785651825</v>
      </c>
    </row>
    <row r="8" spans="1:5">
      <c r="A8" s="2"/>
      <c r="B8" s="8" t="s">
        <v>20</v>
      </c>
      <c r="C8" s="5">
        <f>'1500 ft'!C23</f>
        <v>61.279181</v>
      </c>
      <c r="D8" s="5">
        <f>'3000 ft'!C23</f>
        <v>63.493266</v>
      </c>
      <c r="E8" s="9">
        <f>1-D8/C8</f>
        <v>-0.0361311127836383</v>
      </c>
    </row>
    <row r="9" spans="1:5">
      <c r="A9" s="2"/>
      <c r="B9" s="8" t="s">
        <v>21</v>
      </c>
      <c r="C9" s="5">
        <f>'1500 ft'!C24</f>
        <v>102.656862</v>
      </c>
      <c r="D9" s="5">
        <f>'3000 ft'!C24</f>
        <v>99.649952</v>
      </c>
      <c r="E9" s="6">
        <f>1-D9/C9</f>
        <v>0.0292908816947862</v>
      </c>
    </row>
    <row r="10" spans="1:5">
      <c r="A10" s="2"/>
      <c r="B10" s="2"/>
      <c r="C10" s="5"/>
      <c r="D10" s="2"/>
      <c r="E10" s="6"/>
    </row>
    <row r="11" spans="1:5">
      <c r="A11" s="4" t="s">
        <v>23</v>
      </c>
      <c r="B11" s="2" t="s">
        <v>19</v>
      </c>
      <c r="C11" s="5">
        <f>'1500 ft'!C28</f>
        <v>119.770699</v>
      </c>
      <c r="D11" s="5">
        <f>'3000 ft'!C28</f>
        <v>117.514648</v>
      </c>
      <c r="E11" s="6">
        <f>1-D11/C11</f>
        <v>0.0188364184131549</v>
      </c>
    </row>
    <row r="12" spans="1:5">
      <c r="A12" s="2"/>
      <c r="B12" s="8" t="s">
        <v>20</v>
      </c>
      <c r="C12" s="5">
        <f>'1500 ft'!C29</f>
        <v>78.067767</v>
      </c>
      <c r="D12" s="5">
        <f>'3000 ft'!C29</f>
        <v>80.379265</v>
      </c>
      <c r="E12" s="9">
        <f>1-D12/C12</f>
        <v>-0.0296088653336279</v>
      </c>
    </row>
    <row r="13" spans="1:5">
      <c r="A13" s="2"/>
      <c r="B13" s="8" t="s">
        <v>21</v>
      </c>
      <c r="C13" s="5">
        <f>'1500 ft'!C30</f>
        <v>132.574409</v>
      </c>
      <c r="D13" s="5">
        <f>'3000 ft'!C30</f>
        <v>129.378027</v>
      </c>
      <c r="E13" s="6">
        <f>1-D13/C13</f>
        <v>0.0241100980506724</v>
      </c>
    </row>
    <row r="17" spans="2:11">
      <c r="B17" s="10" t="s">
        <v>25</v>
      </c>
      <c r="C17" s="11"/>
      <c r="D17" s="11"/>
      <c r="E17" s="11"/>
      <c r="F17" s="11"/>
      <c r="G17" s="11"/>
      <c r="H17" s="11"/>
      <c r="I17" s="11"/>
      <c r="J17" s="11"/>
      <c r="K17" s="51"/>
    </row>
    <row r="18" spans="2:11">
      <c r="B18" s="12" t="s">
        <v>32</v>
      </c>
      <c r="C18" s="13" t="s">
        <v>19</v>
      </c>
      <c r="D18" s="14"/>
      <c r="E18" s="15"/>
      <c r="F18" s="16" t="s">
        <v>20</v>
      </c>
      <c r="G18" s="17"/>
      <c r="H18" s="18"/>
      <c r="I18" s="17" t="s">
        <v>21</v>
      </c>
      <c r="J18" s="17"/>
      <c r="K18" s="18"/>
    </row>
    <row r="19" spans="2:11">
      <c r="B19" s="19"/>
      <c r="C19" s="20" t="s">
        <v>30</v>
      </c>
      <c r="D19" s="21" t="s">
        <v>31</v>
      </c>
      <c r="E19" s="22" t="s">
        <v>29</v>
      </c>
      <c r="F19" s="20" t="s">
        <v>30</v>
      </c>
      <c r="G19" s="21" t="s">
        <v>31</v>
      </c>
      <c r="H19" s="22" t="s">
        <v>29</v>
      </c>
      <c r="I19" s="52" t="s">
        <v>30</v>
      </c>
      <c r="J19" s="21" t="s">
        <v>31</v>
      </c>
      <c r="K19" s="22" t="s">
        <v>29</v>
      </c>
    </row>
    <row r="20" spans="2:11">
      <c r="B20" s="23" t="s">
        <v>0</v>
      </c>
      <c r="C20" s="24">
        <f>'1500 ft'!U41</f>
        <v>0.00414</v>
      </c>
      <c r="D20" s="25" cm="1">
        <f t="array" ref="D20:D39">'3000 ft'!U41:U60</f>
        <v>0.00414</v>
      </c>
      <c r="E20" s="26">
        <f>1-C20/D20</f>
        <v>0</v>
      </c>
      <c r="F20" s="27" cm="1">
        <f t="array" ref="F20:F39">'1500 ft'!V41:V60</f>
        <v>0.003135</v>
      </c>
      <c r="G20" s="25" cm="1">
        <f t="array" ref="G20:G39">'3000 ft'!V41:V60</f>
        <v>0.003135</v>
      </c>
      <c r="H20" s="26">
        <f t="shared" ref="H20:H39" si="0">1-F20/G20</f>
        <v>0</v>
      </c>
      <c r="I20" s="53" cm="1">
        <f t="array" ref="I20:I39">'1500 ft'!W41:W60</f>
        <v>0.004368</v>
      </c>
      <c r="J20" s="54" cm="1">
        <f t="array" ref="J20:J39">'3000 ft'!W41:W60</f>
        <v>0.004368</v>
      </c>
      <c r="K20" s="26">
        <f t="shared" ref="K20:K39" si="1">1-I20/J20</f>
        <v>0</v>
      </c>
    </row>
    <row r="21" spans="2:11">
      <c r="B21" s="23" t="s">
        <v>1</v>
      </c>
      <c r="C21" s="28">
        <f>'1500 ft'!U42</f>
        <v>1.26099</v>
      </c>
      <c r="D21" s="29">
        <v>2.507104</v>
      </c>
      <c r="E21" s="30">
        <f t="shared" ref="E21:E39" si="2">1-C21/D21</f>
        <v>0.497033230372573</v>
      </c>
      <c r="F21" s="31">
        <v>0.785311</v>
      </c>
      <c r="G21" s="29">
        <v>1.559359</v>
      </c>
      <c r="H21" s="30">
        <f t="shared" si="0"/>
        <v>0.49638858017942</v>
      </c>
      <c r="I21" s="55">
        <v>0.934626</v>
      </c>
      <c r="J21" s="56">
        <v>1.853556</v>
      </c>
      <c r="K21" s="30">
        <f t="shared" si="1"/>
        <v>0.495765976317953</v>
      </c>
    </row>
    <row r="22" spans="2:11">
      <c r="B22" s="23" t="s">
        <v>2</v>
      </c>
      <c r="C22" s="28">
        <f>'1500 ft'!U43</f>
        <v>2.096034</v>
      </c>
      <c r="D22" s="29">
        <v>2.819842</v>
      </c>
      <c r="E22" s="30">
        <f t="shared" si="2"/>
        <v>0.256683885125479</v>
      </c>
      <c r="F22" s="31">
        <v>1.797259</v>
      </c>
      <c r="G22" s="29">
        <v>2.555484</v>
      </c>
      <c r="H22" s="30">
        <f t="shared" si="0"/>
        <v>0.296705046871747</v>
      </c>
      <c r="I22" s="55">
        <v>2.277495</v>
      </c>
      <c r="J22" s="56">
        <v>3.107146</v>
      </c>
      <c r="K22" s="30">
        <f t="shared" si="1"/>
        <v>0.267013844859559</v>
      </c>
    </row>
    <row r="23" spans="2:11">
      <c r="B23" s="23" t="s">
        <v>3</v>
      </c>
      <c r="C23" s="28">
        <f>'1500 ft'!U44</f>
        <v>0.55039</v>
      </c>
      <c r="D23" s="29">
        <v>0.552865</v>
      </c>
      <c r="E23" s="30">
        <f t="shared" si="2"/>
        <v>0.00447668056397132</v>
      </c>
      <c r="F23" s="31">
        <v>0.530053</v>
      </c>
      <c r="G23" s="29">
        <v>0.531767</v>
      </c>
      <c r="H23" s="30">
        <f t="shared" si="0"/>
        <v>0.00322321618302757</v>
      </c>
      <c r="I23" s="55">
        <v>0.650071</v>
      </c>
      <c r="J23" s="56">
        <v>0.652756</v>
      </c>
      <c r="K23" s="30">
        <f t="shared" si="1"/>
        <v>0.0041133287170092</v>
      </c>
    </row>
    <row r="24" spans="2:11">
      <c r="B24" s="23" t="s">
        <v>4</v>
      </c>
      <c r="C24" s="28">
        <f>'1500 ft'!U45</f>
        <v>3.460097</v>
      </c>
      <c r="D24" s="29">
        <v>5.71025</v>
      </c>
      <c r="E24" s="30">
        <f t="shared" si="2"/>
        <v>0.394055076397706</v>
      </c>
      <c r="F24" s="31">
        <v>2.927872</v>
      </c>
      <c r="G24" s="29">
        <v>4.937473</v>
      </c>
      <c r="H24" s="30">
        <f t="shared" si="0"/>
        <v>0.407010023143418</v>
      </c>
      <c r="I24" s="55">
        <v>3.976706</v>
      </c>
      <c r="J24" s="56">
        <v>6.677778</v>
      </c>
      <c r="K24" s="30">
        <f t="shared" si="1"/>
        <v>0.404486642113589</v>
      </c>
    </row>
    <row r="25" spans="2:11">
      <c r="B25" s="32" t="s">
        <v>26</v>
      </c>
      <c r="C25" s="33">
        <f>'1500 ft'!U46</f>
        <v>41.341488</v>
      </c>
      <c r="D25" s="34">
        <v>30.978339</v>
      </c>
      <c r="E25" s="35">
        <f t="shared" si="2"/>
        <v>-0.334528878388218</v>
      </c>
      <c r="F25" s="36">
        <v>26.022308</v>
      </c>
      <c r="G25" s="34">
        <v>19.841049</v>
      </c>
      <c r="H25" s="35">
        <f t="shared" si="0"/>
        <v>-0.311538921152808</v>
      </c>
      <c r="I25" s="57">
        <v>46.372197</v>
      </c>
      <c r="J25" s="58">
        <v>34.930488</v>
      </c>
      <c r="K25" s="26">
        <f t="shared" si="1"/>
        <v>-0.327556517389623</v>
      </c>
    </row>
    <row r="26" spans="2:11">
      <c r="B26" s="37" t="s">
        <v>27</v>
      </c>
      <c r="C26" s="38">
        <f>'1500 ft'!U47</f>
        <v>68.013416</v>
      </c>
      <c r="D26" s="39">
        <v>57.342883</v>
      </c>
      <c r="E26" s="40">
        <f t="shared" si="2"/>
        <v>-0.186082952962097</v>
      </c>
      <c r="F26" s="41">
        <v>42.810893</v>
      </c>
      <c r="G26" s="39">
        <v>36.727049</v>
      </c>
      <c r="H26" s="40">
        <f t="shared" si="0"/>
        <v>-0.16565022689408</v>
      </c>
      <c r="I26" s="59">
        <v>76.289744</v>
      </c>
      <c r="J26" s="60">
        <v>64.658563</v>
      </c>
      <c r="K26" s="30">
        <f t="shared" si="1"/>
        <v>-0.179886166044241</v>
      </c>
    </row>
    <row r="27" spans="2:11">
      <c r="B27" s="42" t="s">
        <v>28</v>
      </c>
      <c r="C27" s="43">
        <f>'1500 ft'!U48</f>
        <v>94.685344</v>
      </c>
      <c r="D27" s="44">
        <v>83.707427</v>
      </c>
      <c r="E27" s="45">
        <f t="shared" si="2"/>
        <v>-0.131146272122305</v>
      </c>
      <c r="F27" s="46">
        <v>59.599479</v>
      </c>
      <c r="G27" s="44">
        <v>53.613048</v>
      </c>
      <c r="H27" s="45">
        <f t="shared" si="0"/>
        <v>-0.111659963820748</v>
      </c>
      <c r="I27" s="61">
        <v>106.207291</v>
      </c>
      <c r="J27" s="62">
        <v>94.386638</v>
      </c>
      <c r="K27" s="49">
        <f t="shared" si="1"/>
        <v>-0.12523650858292</v>
      </c>
    </row>
    <row r="28" spans="2:11">
      <c r="B28" s="23" t="s">
        <v>6</v>
      </c>
      <c r="C28" s="28">
        <f>'1500 ft'!U49</f>
        <v>0.980656</v>
      </c>
      <c r="D28" s="29">
        <v>3.223824</v>
      </c>
      <c r="E28" s="30">
        <f t="shared" si="2"/>
        <v>0.69580969680727</v>
      </c>
      <c r="F28" s="31">
        <v>1.050524</v>
      </c>
      <c r="G28" s="29">
        <v>3.054837</v>
      </c>
      <c r="H28" s="30">
        <f t="shared" si="0"/>
        <v>0.656111275331548</v>
      </c>
      <c r="I28" s="55">
        <v>1.360603</v>
      </c>
      <c r="J28" s="56">
        <v>4.054305</v>
      </c>
      <c r="K28" s="30">
        <f t="shared" si="1"/>
        <v>0.664405366641138</v>
      </c>
    </row>
    <row r="29" spans="2:11">
      <c r="B29" s="23" t="s">
        <v>7</v>
      </c>
      <c r="C29" s="28">
        <f>'1500 ft'!U50</f>
        <v>0.55039</v>
      </c>
      <c r="D29" s="29">
        <v>0.552865</v>
      </c>
      <c r="E29" s="30">
        <f t="shared" si="2"/>
        <v>0.00447668056397132</v>
      </c>
      <c r="F29" s="31">
        <v>0.530053</v>
      </c>
      <c r="G29" s="29">
        <v>0.531767</v>
      </c>
      <c r="H29" s="30">
        <f t="shared" si="0"/>
        <v>0.00322321618302757</v>
      </c>
      <c r="I29" s="55">
        <v>0.650071</v>
      </c>
      <c r="J29" s="56">
        <v>0.652756</v>
      </c>
      <c r="K29" s="30">
        <f t="shared" si="1"/>
        <v>0.0041133287170092</v>
      </c>
    </row>
    <row r="30" spans="2:11">
      <c r="B30" s="23" t="s">
        <v>8</v>
      </c>
      <c r="C30" s="28">
        <f>'1500 ft'!U51</f>
        <v>0.147982</v>
      </c>
      <c r="D30" s="29">
        <v>0.074355</v>
      </c>
      <c r="E30" s="47">
        <f t="shared" si="2"/>
        <v>-0.990209131867393</v>
      </c>
      <c r="F30" s="31">
        <v>0.066325</v>
      </c>
      <c r="G30" s="29">
        <v>0.476696</v>
      </c>
      <c r="H30" s="47">
        <f t="shared" si="0"/>
        <v>0.860865205497844</v>
      </c>
      <c r="I30" s="55">
        <v>0.138609</v>
      </c>
      <c r="J30" s="56">
        <v>0.210333</v>
      </c>
      <c r="K30" s="47">
        <f t="shared" si="1"/>
        <v>0.341002125201466</v>
      </c>
    </row>
    <row r="31" spans="2:11">
      <c r="B31" s="23" t="s">
        <v>9</v>
      </c>
      <c r="C31" s="28">
        <f>'1500 ft'!U52</f>
        <v>1.231238</v>
      </c>
      <c r="D31" s="29">
        <v>2.477353</v>
      </c>
      <c r="E31" s="30">
        <f t="shared" si="2"/>
        <v>0.503002599952449</v>
      </c>
      <c r="F31" s="31">
        <v>0.762784</v>
      </c>
      <c r="G31" s="29">
        <v>1.536832</v>
      </c>
      <c r="H31" s="30">
        <f t="shared" si="0"/>
        <v>0.503664681630783</v>
      </c>
      <c r="I31" s="55">
        <v>0.903235</v>
      </c>
      <c r="J31" s="56">
        <v>1.822165</v>
      </c>
      <c r="K31" s="30">
        <f t="shared" si="1"/>
        <v>0.504306690118623</v>
      </c>
    </row>
    <row r="32" spans="2:11">
      <c r="B32" s="23" t="s">
        <v>10</v>
      </c>
      <c r="C32" s="28">
        <f>'1500 ft'!U53</f>
        <v>0.00414</v>
      </c>
      <c r="D32" s="29">
        <v>0.00414</v>
      </c>
      <c r="E32" s="30">
        <f t="shared" si="2"/>
        <v>0</v>
      </c>
      <c r="F32" s="31">
        <v>0.003135</v>
      </c>
      <c r="G32" s="29">
        <v>0.003135</v>
      </c>
      <c r="H32" s="30">
        <f t="shared" si="0"/>
        <v>0</v>
      </c>
      <c r="I32" s="55">
        <v>0.004368</v>
      </c>
      <c r="J32" s="56">
        <v>0.004368</v>
      </c>
      <c r="K32" s="30">
        <f t="shared" si="1"/>
        <v>0</v>
      </c>
    </row>
    <row r="33" spans="2:11">
      <c r="B33" s="23" t="s">
        <v>11</v>
      </c>
      <c r="C33" s="28">
        <f>'1500 ft'!U54</f>
        <v>1.26099</v>
      </c>
      <c r="D33" s="29">
        <v>2.507104</v>
      </c>
      <c r="E33" s="30">
        <f t="shared" si="2"/>
        <v>0.497033230372573</v>
      </c>
      <c r="F33" s="31">
        <v>0.785311</v>
      </c>
      <c r="G33" s="29">
        <v>1.559359</v>
      </c>
      <c r="H33" s="30">
        <f t="shared" si="0"/>
        <v>0.49638858017942</v>
      </c>
      <c r="I33" s="55">
        <v>0.934626</v>
      </c>
      <c r="J33" s="56">
        <v>1.853556</v>
      </c>
      <c r="K33" s="30">
        <f t="shared" si="1"/>
        <v>0.495765976317953</v>
      </c>
    </row>
    <row r="34" spans="2:11">
      <c r="B34" s="23" t="s">
        <v>12</v>
      </c>
      <c r="C34" s="28">
        <f>'1500 ft'!U55</f>
        <v>2.096034</v>
      </c>
      <c r="D34" s="29">
        <v>2.819842</v>
      </c>
      <c r="E34" s="30">
        <f t="shared" si="2"/>
        <v>0.256683885125479</v>
      </c>
      <c r="F34" s="31">
        <v>1.797259</v>
      </c>
      <c r="G34" s="29">
        <v>2.555484</v>
      </c>
      <c r="H34" s="30">
        <f t="shared" si="0"/>
        <v>0.296705046871747</v>
      </c>
      <c r="I34" s="55">
        <v>2.277495</v>
      </c>
      <c r="J34" s="56">
        <v>3.107146</v>
      </c>
      <c r="K34" s="30">
        <f t="shared" si="1"/>
        <v>0.267013844859559</v>
      </c>
    </row>
    <row r="35" spans="2:11">
      <c r="B35" s="23" t="s">
        <v>13</v>
      </c>
      <c r="C35" s="28">
        <f>'1500 ft'!U56</f>
        <v>1.585685</v>
      </c>
      <c r="D35" s="29">
        <v>1.962046</v>
      </c>
      <c r="E35" s="30">
        <f t="shared" si="2"/>
        <v>0.191820681064562</v>
      </c>
      <c r="F35" s="31">
        <v>1.25196</v>
      </c>
      <c r="G35" s="29">
        <v>1.587904</v>
      </c>
      <c r="H35" s="30">
        <f t="shared" si="0"/>
        <v>0.211564427068639</v>
      </c>
      <c r="I35" s="55">
        <v>1.727401</v>
      </c>
      <c r="J35" s="56">
        <v>2.178988</v>
      </c>
      <c r="K35" s="30">
        <f t="shared" si="1"/>
        <v>0.207246207872645</v>
      </c>
    </row>
    <row r="36" spans="2:11">
      <c r="B36" s="23" t="s">
        <v>14</v>
      </c>
      <c r="C36" s="28">
        <f>'1500 ft'!U57</f>
        <v>8.297933</v>
      </c>
      <c r="D36" s="29">
        <v>5.932022</v>
      </c>
      <c r="E36" s="30">
        <f t="shared" si="2"/>
        <v>-0.398837192444667</v>
      </c>
      <c r="F36" s="31">
        <v>5.223116</v>
      </c>
      <c r="G36" s="29">
        <v>3.79935</v>
      </c>
      <c r="H36" s="30">
        <f t="shared" si="0"/>
        <v>-0.374739363312145</v>
      </c>
      <c r="I36" s="55">
        <v>9.307681</v>
      </c>
      <c r="J36" s="56">
        <v>6.688817</v>
      </c>
      <c r="K36" s="30">
        <f t="shared" si="1"/>
        <v>-0.391528726230662</v>
      </c>
    </row>
    <row r="37" spans="2:11">
      <c r="B37" s="23" t="s">
        <v>15</v>
      </c>
      <c r="C37" s="28">
        <f>'1500 ft'!U58</f>
        <v>0.180616</v>
      </c>
      <c r="D37" s="29">
        <v>0.102141</v>
      </c>
      <c r="E37" s="30">
        <f t="shared" si="2"/>
        <v>-0.76830068239003</v>
      </c>
      <c r="F37" s="31">
        <v>0.125976</v>
      </c>
      <c r="G37" s="29">
        <v>0.055852</v>
      </c>
      <c r="H37" s="30">
        <f t="shared" si="0"/>
        <v>-1.25553247869369</v>
      </c>
      <c r="I37" s="55">
        <v>0.179164</v>
      </c>
      <c r="J37" s="56">
        <v>0.084923</v>
      </c>
      <c r="K37" s="30">
        <f t="shared" si="1"/>
        <v>-1.10972292547366</v>
      </c>
    </row>
    <row r="38" spans="2:11">
      <c r="B38" s="23" t="s">
        <v>16</v>
      </c>
      <c r="C38" s="28">
        <f>'1500 ft'!U59</f>
        <v>0.146802</v>
      </c>
      <c r="D38" s="29">
        <v>0.079975</v>
      </c>
      <c r="E38" s="47">
        <f t="shared" si="2"/>
        <v>-0.835598624570178</v>
      </c>
      <c r="F38" s="31">
        <v>0.065431</v>
      </c>
      <c r="G38" s="29">
        <v>0.480951</v>
      </c>
      <c r="H38" s="47">
        <f t="shared" si="0"/>
        <v>0.863954955910269</v>
      </c>
      <c r="I38" s="55">
        <v>0.137364</v>
      </c>
      <c r="J38" s="56">
        <v>0.216263</v>
      </c>
      <c r="K38" s="47">
        <f t="shared" si="1"/>
        <v>0.364828935139159</v>
      </c>
    </row>
    <row r="39" spans="2:11">
      <c r="B39" s="48" t="s">
        <v>17</v>
      </c>
      <c r="C39" s="20">
        <f>'1500 ft'!U60</f>
        <v>1.231238</v>
      </c>
      <c r="D39" s="21">
        <v>2.477353</v>
      </c>
      <c r="E39" s="49">
        <f t="shared" si="2"/>
        <v>0.503002599952449</v>
      </c>
      <c r="F39" s="50">
        <v>0.762784</v>
      </c>
      <c r="G39" s="21">
        <v>1.536832</v>
      </c>
      <c r="H39" s="49">
        <f t="shared" si="0"/>
        <v>0.503664681630783</v>
      </c>
      <c r="I39" s="63">
        <v>0.903235</v>
      </c>
      <c r="J39" s="64">
        <v>1.822165</v>
      </c>
      <c r="K39" s="49">
        <f t="shared" si="1"/>
        <v>0.504306690118623</v>
      </c>
    </row>
  </sheetData>
  <mergeCells count="7">
    <mergeCell ref="C1:D1"/>
    <mergeCell ref="B17:K17"/>
    <mergeCell ref="C18:E18"/>
    <mergeCell ref="F18:H18"/>
    <mergeCell ref="I18:K18"/>
    <mergeCell ref="B18:B19"/>
    <mergeCell ref="E1:E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1500 ft</vt:lpstr>
      <vt:lpstr>3000 ft</vt:lpstr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2025-11-08T23:52:50Z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