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1"/>
  </bookViews>
  <sheets>
    <sheet name="1500 ft" sheetId="1" r:id="rId1"/>
    <sheet name="3000 ft" sheetId="2" r:id="rId2"/>
    <sheet name="All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<sst xmlns="http://schemas.openxmlformats.org/spreadsheetml/2006/main" count="154" uniqueCount="32">
  <si>
    <t>Depart Taxi</t>
  </si>
  <si>
    <t>Hover Climb</t>
  </si>
  <si>
    <t>Transition Climb</t>
  </si>
  <si>
    <t>Depart Procedures</t>
  </si>
  <si>
    <t>Accelerate Climb</t>
  </si>
  <si>
    <t>Cruise</t>
  </si>
  <si>
    <t>Decelerate Descend</t>
  </si>
  <si>
    <t>Arrive Procedures</t>
  </si>
  <si>
    <t>Transition Descend</t>
  </si>
  <si>
    <t>Hover Descend</t>
  </si>
  <si>
    <t>Arrive Taxi</t>
  </si>
  <si>
    <t>Reserve Hover Climb</t>
  </si>
  <si>
    <t>Reserve Transition Climb</t>
  </si>
  <si>
    <t>Reserve Accelerate Climb</t>
  </si>
  <si>
    <t>Reserve Cruise</t>
  </si>
  <si>
    <t>Reserve Decelerate Descend</t>
  </si>
  <si>
    <t>Reserve Transition Descend</t>
  </si>
  <si>
    <t>Reserve Hover Descend</t>
  </si>
  <si>
    <t>30 miles</t>
  </si>
  <si>
    <t>Archer Midnight</t>
  </si>
  <si>
    <t>Joby S4</t>
  </si>
  <si>
    <t>Supernal S-A2</t>
  </si>
  <si>
    <t>45 miles</t>
  </si>
  <si>
    <t>60 miles</t>
  </si>
  <si>
    <t>Total energy</t>
  </si>
  <si>
    <t>TOTAL</t>
  </si>
  <si>
    <t>Cruise (30 mi)</t>
  </si>
  <si>
    <t>Cruise (45 mi)</t>
  </si>
  <si>
    <t>Cruise (60 mi)</t>
  </si>
  <si>
    <t>% Drop</t>
  </si>
  <si>
    <t>1500 ft</t>
  </si>
  <si>
    <t>3000 ft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</si>
</sst>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0_ "/>
  </numFmts>
  <fonts count="21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2" applyNumberFormat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5" borderId="12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9" fontId="0" fillId="0" borderId="0" xfId="3" applyAlignment="1"/>
    <xf numFmtId="0" fontId="0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4" xfId="0" applyBorder="1"/>
    <xf numFmtId="0" fontId="0" fillId="0" borderId="5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altLang="en-US" sz="1600"/>
              <a:t>Mission Segment Energy</a:t>
            </a:r>
            <a:endParaRPr lang="vi-VN" altLang="en-US" sz="16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altLang="en-US" sz="1600" b="0"/>
              <a:t>1500 ft - 30 mi</a:t>
            </a:r>
            <a:endParaRPr lang="vi-VN" altLang="en-US" sz="1600" b="0"/>
          </a:p>
        </c:rich>
      </c:tx>
      <c:layout>
        <c:manualLayout>
          <c:xMode val="edge"/>
          <c:yMode val="edge"/>
          <c:x val="0.349806825499034"/>
          <c:y val="0.019578518014955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"Archer Midnight"</c:f>
              <c:strCache>
                <c:ptCount val="1"/>
                <c:pt idx="0">
                  <c:v>Archer Midnight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'1500 ft'!$C$1:$T$1</c:f>
              <c:strCache>
                <c:ptCount val="18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</c:v>
                </c:pt>
                <c:pt idx="6">
                  <c:v>Decelerate Descend</c:v>
                </c:pt>
                <c:pt idx="7">
                  <c:v>Arrive Procedures</c:v>
                </c:pt>
                <c:pt idx="8">
                  <c:v>Transition Descend</c:v>
                </c:pt>
                <c:pt idx="9">
                  <c:v>Hover Descend</c:v>
                </c:pt>
                <c:pt idx="10">
                  <c:v>Arrive Taxi</c:v>
                </c:pt>
                <c:pt idx="11">
                  <c:v>Reserve Hover Climb</c:v>
                </c:pt>
                <c:pt idx="12">
                  <c:v>Reserve Transition Climb</c:v>
                </c:pt>
                <c:pt idx="13">
                  <c:v>Reserve Accelerate Climb</c:v>
                </c:pt>
                <c:pt idx="14">
                  <c:v>Reserve Cruise</c:v>
                </c:pt>
                <c:pt idx="15">
                  <c:v>Reserve Decelerate Descend</c:v>
                </c:pt>
                <c:pt idx="16">
                  <c:v>Reserve Transition Descend</c:v>
                </c:pt>
                <c:pt idx="17">
                  <c:v>Reserve Hover Descend</c:v>
                </c:pt>
              </c:strCache>
            </c:strRef>
          </c:cat>
          <c:val>
            <c:numRef>
              <c:f>'1500 ft'!$C$2:$T$2</c:f>
              <c:numCache>
                <c:formatCode>General</c:formatCode>
                <c:ptCount val="18"/>
                <c:pt idx="0">
                  <c:v>0.00414</c:v>
                </c:pt>
                <c:pt idx="1">
                  <c:v>0.187235</c:v>
                </c:pt>
                <c:pt idx="2">
                  <c:v>2.104751</c:v>
                </c:pt>
                <c:pt idx="3">
                  <c:v>0.55039</c:v>
                </c:pt>
                <c:pt idx="4">
                  <c:v>3.460097</c:v>
                </c:pt>
                <c:pt idx="5">
                  <c:v>41.341488</c:v>
                </c:pt>
                <c:pt idx="6">
                  <c:v>0.980656</c:v>
                </c:pt>
                <c:pt idx="7">
                  <c:v>0.55039</c:v>
                </c:pt>
                <c:pt idx="8">
                  <c:v>0.1567</c:v>
                </c:pt>
                <c:pt idx="9">
                  <c:v>0.157483</c:v>
                </c:pt>
                <c:pt idx="10">
                  <c:v>0.00414</c:v>
                </c:pt>
                <c:pt idx="11">
                  <c:v>0.187235</c:v>
                </c:pt>
                <c:pt idx="12">
                  <c:v>2.104751</c:v>
                </c:pt>
                <c:pt idx="13">
                  <c:v>1.585685</c:v>
                </c:pt>
                <c:pt idx="14">
                  <c:v>8.297933</c:v>
                </c:pt>
                <c:pt idx="15">
                  <c:v>0.180616</c:v>
                </c:pt>
                <c:pt idx="16">
                  <c:v>0.155519</c:v>
                </c:pt>
                <c:pt idx="17">
                  <c:v>0.157483</c:v>
                </c:pt>
              </c:numCache>
            </c:numRef>
          </c:val>
        </c:ser>
        <c:ser>
          <c:idx val="1"/>
          <c:order val="1"/>
          <c:tx>
            <c:strRef>
              <c:f>"Joby S4"</c:f>
              <c:strCache>
                <c:ptCount val="1"/>
                <c:pt idx="0">
                  <c:v>Joby S4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'1500 ft'!$C$1:$T$1</c:f>
              <c:strCache>
                <c:ptCount val="18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</c:v>
                </c:pt>
                <c:pt idx="6">
                  <c:v>Decelerate Descend</c:v>
                </c:pt>
                <c:pt idx="7">
                  <c:v>Arrive Procedures</c:v>
                </c:pt>
                <c:pt idx="8">
                  <c:v>Transition Descend</c:v>
                </c:pt>
                <c:pt idx="9">
                  <c:v>Hover Descend</c:v>
                </c:pt>
                <c:pt idx="10">
                  <c:v>Arrive Taxi</c:v>
                </c:pt>
                <c:pt idx="11">
                  <c:v>Reserve Hover Climb</c:v>
                </c:pt>
                <c:pt idx="12">
                  <c:v>Reserve Transition Climb</c:v>
                </c:pt>
                <c:pt idx="13">
                  <c:v>Reserve Accelerate Climb</c:v>
                </c:pt>
                <c:pt idx="14">
                  <c:v>Reserve Cruise</c:v>
                </c:pt>
                <c:pt idx="15">
                  <c:v>Reserve Decelerate Descend</c:v>
                </c:pt>
                <c:pt idx="16">
                  <c:v>Reserve Transition Descend</c:v>
                </c:pt>
                <c:pt idx="17">
                  <c:v>Reserve Hover Descend</c:v>
                </c:pt>
              </c:strCache>
            </c:strRef>
          </c:cat>
          <c:val>
            <c:numRef>
              <c:f>'1500 ft'!$C$3:$T$3</c:f>
              <c:numCache>
                <c:formatCode>General</c:formatCode>
                <c:ptCount val="18"/>
                <c:pt idx="0">
                  <c:v>0.003135</c:v>
                </c:pt>
                <c:pt idx="1">
                  <c:v>0.141768</c:v>
                </c:pt>
                <c:pt idx="2">
                  <c:v>1.805163</c:v>
                </c:pt>
                <c:pt idx="3">
                  <c:v>0.530053</c:v>
                </c:pt>
                <c:pt idx="4">
                  <c:v>2.927872</c:v>
                </c:pt>
                <c:pt idx="5">
                  <c:v>26.022308</c:v>
                </c:pt>
                <c:pt idx="6">
                  <c:v>1.050524</c:v>
                </c:pt>
                <c:pt idx="7">
                  <c:v>0.530053</c:v>
                </c:pt>
                <c:pt idx="8">
                  <c:v>0.074229</c:v>
                </c:pt>
                <c:pt idx="9">
                  <c:v>0.119241</c:v>
                </c:pt>
                <c:pt idx="10">
                  <c:v>0.003135</c:v>
                </c:pt>
                <c:pt idx="11">
                  <c:v>0.141768</c:v>
                </c:pt>
                <c:pt idx="12">
                  <c:v>1.805163</c:v>
                </c:pt>
                <c:pt idx="13">
                  <c:v>1.25196</c:v>
                </c:pt>
                <c:pt idx="14">
                  <c:v>5.223116</c:v>
                </c:pt>
                <c:pt idx="15">
                  <c:v>0.125976</c:v>
                </c:pt>
                <c:pt idx="16">
                  <c:v>0.073335</c:v>
                </c:pt>
                <c:pt idx="17">
                  <c:v>0.119241</c:v>
                </c:pt>
              </c:numCache>
            </c:numRef>
          </c:val>
        </c:ser>
        <c:ser>
          <c:idx val="2"/>
          <c:order val="2"/>
          <c:tx>
            <c:strRef>
              <c:f>"Supernal S-A2"</c:f>
              <c:strCache>
                <c:ptCount val="1"/>
                <c:pt idx="0">
                  <c:v>Supernal S-A2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'1500 ft'!$C$1:$T$1</c:f>
              <c:strCache>
                <c:ptCount val="18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</c:v>
                </c:pt>
                <c:pt idx="6">
                  <c:v>Decelerate Descend</c:v>
                </c:pt>
                <c:pt idx="7">
                  <c:v>Arrive Procedures</c:v>
                </c:pt>
                <c:pt idx="8">
                  <c:v>Transition Descend</c:v>
                </c:pt>
                <c:pt idx="9">
                  <c:v>Hover Descend</c:v>
                </c:pt>
                <c:pt idx="10">
                  <c:v>Arrive Taxi</c:v>
                </c:pt>
                <c:pt idx="11">
                  <c:v>Reserve Hover Climb</c:v>
                </c:pt>
                <c:pt idx="12">
                  <c:v>Reserve Transition Climb</c:v>
                </c:pt>
                <c:pt idx="13">
                  <c:v>Reserve Accelerate Climb</c:v>
                </c:pt>
                <c:pt idx="14">
                  <c:v>Reserve Cruise</c:v>
                </c:pt>
                <c:pt idx="15">
                  <c:v>Reserve Decelerate Descend</c:v>
                </c:pt>
                <c:pt idx="16">
                  <c:v>Reserve Transition Descend</c:v>
                </c:pt>
                <c:pt idx="17">
                  <c:v>Reserve Hover Descend</c:v>
                </c:pt>
              </c:strCache>
            </c:strRef>
          </c:cat>
          <c:val>
            <c:numRef>
              <c:f>'1500 ft'!$C$4:$T$4</c:f>
              <c:numCache>
                <c:formatCode>General</c:formatCode>
                <c:ptCount val="18"/>
                <c:pt idx="0">
                  <c:v>0.004173</c:v>
                </c:pt>
                <c:pt idx="1">
                  <c:v>0.188709</c:v>
                </c:pt>
                <c:pt idx="2">
                  <c:v>2.153167</c:v>
                </c:pt>
                <c:pt idx="3">
                  <c:v>0.603786</c:v>
                </c:pt>
                <c:pt idx="4">
                  <c:v>3.756457</c:v>
                </c:pt>
                <c:pt idx="5">
                  <c:v>41.05615</c:v>
                </c:pt>
                <c:pt idx="6">
                  <c:v>1.257493</c:v>
                </c:pt>
                <c:pt idx="7">
                  <c:v>0.603786</c:v>
                </c:pt>
                <c:pt idx="8">
                  <c:v>0.151246</c:v>
                </c:pt>
                <c:pt idx="9">
                  <c:v>0.158723</c:v>
                </c:pt>
                <c:pt idx="10">
                  <c:v>0.004173</c:v>
                </c:pt>
                <c:pt idx="11">
                  <c:v>0.188709</c:v>
                </c:pt>
                <c:pt idx="12">
                  <c:v>2.153167</c:v>
                </c:pt>
                <c:pt idx="13">
                  <c:v>1.643024</c:v>
                </c:pt>
                <c:pt idx="14">
                  <c:v>8.240661</c:v>
                </c:pt>
                <c:pt idx="15">
                  <c:v>0.172619</c:v>
                </c:pt>
                <c:pt idx="16">
                  <c:v>0.150057</c:v>
                </c:pt>
                <c:pt idx="17">
                  <c:v>0.158723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28526186"/>
        <c:axId val="39651681"/>
      </c:barChart>
      <c:catAx>
        <c:axId val="12852618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altLang="en-US" sz="1400"/>
                  <a:t>Mission Segment</a:t>
                </a:r>
                <a:endParaRPr lang="vi-VN" altLang="en-US" sz="1400"/>
              </a:p>
            </c:rich>
          </c:tx>
          <c:layout>
            <c:manualLayout>
              <c:xMode val="edge"/>
              <c:yMode val="edge"/>
              <c:x val="0.41184803605924"/>
              <c:y val="0.849354180829368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651681"/>
        <c:crosses val="autoZero"/>
        <c:auto val="1"/>
        <c:lblAlgn val="ctr"/>
        <c:lblOffset val="100"/>
        <c:noMultiLvlLbl val="0"/>
      </c:catAx>
      <c:valAx>
        <c:axId val="3965168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Energy (kW hr)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119124275595621"/>
              <c:y val="0.29288919102651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852618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314592723760464"/>
          <c:y val="0.916927260367097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d022dfe-ae49-4803-bf69-c648dbeee27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altLang="en-US" sz="1600"/>
              <a:t>Mission Segment Energy</a:t>
            </a:r>
            <a:endParaRPr lang="vi-VN" altLang="en-US" sz="16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altLang="en-US" sz="1600" b="0"/>
              <a:t>1500 ft - 45 mi</a:t>
            </a:r>
            <a:endParaRPr lang="vi-VN" altLang="en-US" sz="1600" b="0"/>
          </a:p>
        </c:rich>
      </c:tx>
      <c:layout>
        <c:manualLayout>
          <c:xMode val="edge"/>
          <c:yMode val="edge"/>
          <c:x val="0.349806825499034"/>
          <c:y val="0.019578518014955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'1500 ft'!$B$2</c:f>
              <c:strCache>
                <c:ptCount val="1"/>
                <c:pt idx="0">
                  <c:v>Archer Midnight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'1500 ft'!$C$1:$T$1</c:f>
              <c:strCache>
                <c:ptCount val="18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</c:v>
                </c:pt>
                <c:pt idx="6">
                  <c:v>Decelerate Descend</c:v>
                </c:pt>
                <c:pt idx="7">
                  <c:v>Arrive Procedures</c:v>
                </c:pt>
                <c:pt idx="8">
                  <c:v>Transition Descend</c:v>
                </c:pt>
                <c:pt idx="9">
                  <c:v>Hover Descend</c:v>
                </c:pt>
                <c:pt idx="10">
                  <c:v>Arrive Taxi</c:v>
                </c:pt>
                <c:pt idx="11">
                  <c:v>Reserve Hover Climb</c:v>
                </c:pt>
                <c:pt idx="12">
                  <c:v>Reserve Transition Climb</c:v>
                </c:pt>
                <c:pt idx="13">
                  <c:v>Reserve Accelerate Climb</c:v>
                </c:pt>
                <c:pt idx="14">
                  <c:v>Reserve Cruise</c:v>
                </c:pt>
                <c:pt idx="15">
                  <c:v>Reserve Decelerate Descend</c:v>
                </c:pt>
                <c:pt idx="16">
                  <c:v>Reserve Transition Descend</c:v>
                </c:pt>
                <c:pt idx="17">
                  <c:v>Reserve Hover Descend</c:v>
                </c:pt>
              </c:strCache>
            </c:strRef>
          </c:cat>
          <c:val>
            <c:numRef>
              <c:f>'1500 ft'!$C$6:$T$6</c:f>
              <c:numCache>
                <c:formatCode>General</c:formatCode>
                <c:ptCount val="18"/>
                <c:pt idx="0">
                  <c:v>0.00414</c:v>
                </c:pt>
                <c:pt idx="1">
                  <c:v>0.187235</c:v>
                </c:pt>
                <c:pt idx="2">
                  <c:v>2.104751</c:v>
                </c:pt>
                <c:pt idx="3">
                  <c:v>0.55039</c:v>
                </c:pt>
                <c:pt idx="4">
                  <c:v>3.460097</c:v>
                </c:pt>
                <c:pt idx="5">
                  <c:v>68.013416</c:v>
                </c:pt>
                <c:pt idx="6">
                  <c:v>0.980656</c:v>
                </c:pt>
                <c:pt idx="7">
                  <c:v>0.55039</c:v>
                </c:pt>
                <c:pt idx="8">
                  <c:v>0.1567</c:v>
                </c:pt>
                <c:pt idx="9">
                  <c:v>0.157483</c:v>
                </c:pt>
                <c:pt idx="10">
                  <c:v>0.00414</c:v>
                </c:pt>
                <c:pt idx="11">
                  <c:v>0.187235</c:v>
                </c:pt>
                <c:pt idx="12">
                  <c:v>2.104751</c:v>
                </c:pt>
                <c:pt idx="13">
                  <c:v>1.585685</c:v>
                </c:pt>
                <c:pt idx="14">
                  <c:v>8.297933</c:v>
                </c:pt>
                <c:pt idx="15">
                  <c:v>0.180616</c:v>
                </c:pt>
                <c:pt idx="16">
                  <c:v>0.155519</c:v>
                </c:pt>
                <c:pt idx="17">
                  <c:v>0.157483</c:v>
                </c:pt>
              </c:numCache>
            </c:numRef>
          </c:val>
        </c:ser>
        <c:ser>
          <c:idx val="1"/>
          <c:order val="1"/>
          <c:tx>
            <c:strRef>
              <c:f>'1500 ft'!$B$7</c:f>
              <c:strCache>
                <c:ptCount val="1"/>
                <c:pt idx="0">
                  <c:v>Joby S4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'1500 ft'!$C$1:$T$1</c:f>
              <c:strCache>
                <c:ptCount val="18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</c:v>
                </c:pt>
                <c:pt idx="6">
                  <c:v>Decelerate Descend</c:v>
                </c:pt>
                <c:pt idx="7">
                  <c:v>Arrive Procedures</c:v>
                </c:pt>
                <c:pt idx="8">
                  <c:v>Transition Descend</c:v>
                </c:pt>
                <c:pt idx="9">
                  <c:v>Hover Descend</c:v>
                </c:pt>
                <c:pt idx="10">
                  <c:v>Arrive Taxi</c:v>
                </c:pt>
                <c:pt idx="11">
                  <c:v>Reserve Hover Climb</c:v>
                </c:pt>
                <c:pt idx="12">
                  <c:v>Reserve Transition Climb</c:v>
                </c:pt>
                <c:pt idx="13">
                  <c:v>Reserve Accelerate Climb</c:v>
                </c:pt>
                <c:pt idx="14">
                  <c:v>Reserve Cruise</c:v>
                </c:pt>
                <c:pt idx="15">
                  <c:v>Reserve Decelerate Descend</c:v>
                </c:pt>
                <c:pt idx="16">
                  <c:v>Reserve Transition Descend</c:v>
                </c:pt>
                <c:pt idx="17">
                  <c:v>Reserve Hover Descend</c:v>
                </c:pt>
              </c:strCache>
            </c:strRef>
          </c:cat>
          <c:val>
            <c:numRef>
              <c:f>'1500 ft'!$C$7:$T$7</c:f>
              <c:numCache>
                <c:formatCode>General</c:formatCode>
                <c:ptCount val="18"/>
                <c:pt idx="0">
                  <c:v>0.003135</c:v>
                </c:pt>
                <c:pt idx="1">
                  <c:v>0.141768</c:v>
                </c:pt>
                <c:pt idx="2">
                  <c:v>1.805163</c:v>
                </c:pt>
                <c:pt idx="3">
                  <c:v>0.530053</c:v>
                </c:pt>
                <c:pt idx="4">
                  <c:v>2.927872</c:v>
                </c:pt>
                <c:pt idx="5">
                  <c:v>42.810893</c:v>
                </c:pt>
                <c:pt idx="6">
                  <c:v>1.050524</c:v>
                </c:pt>
                <c:pt idx="7">
                  <c:v>0.530053</c:v>
                </c:pt>
                <c:pt idx="8">
                  <c:v>0.074229</c:v>
                </c:pt>
                <c:pt idx="9">
                  <c:v>0.119241</c:v>
                </c:pt>
                <c:pt idx="10">
                  <c:v>0.003135</c:v>
                </c:pt>
                <c:pt idx="11">
                  <c:v>0.141768</c:v>
                </c:pt>
                <c:pt idx="12">
                  <c:v>1.805163</c:v>
                </c:pt>
                <c:pt idx="13">
                  <c:v>1.25196</c:v>
                </c:pt>
                <c:pt idx="14">
                  <c:v>5.223116</c:v>
                </c:pt>
                <c:pt idx="15">
                  <c:v>0.125976</c:v>
                </c:pt>
                <c:pt idx="16">
                  <c:v>0.073335</c:v>
                </c:pt>
                <c:pt idx="17">
                  <c:v>0.119241</c:v>
                </c:pt>
              </c:numCache>
            </c:numRef>
          </c:val>
        </c:ser>
        <c:ser>
          <c:idx val="2"/>
          <c:order val="2"/>
          <c:tx>
            <c:strRef>
              <c:f>'1500 ft'!$B$8</c:f>
              <c:strCache>
                <c:ptCount val="1"/>
                <c:pt idx="0">
                  <c:v>Supernal S-A2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'1500 ft'!$C$1:$T$1</c:f>
              <c:strCache>
                <c:ptCount val="18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</c:v>
                </c:pt>
                <c:pt idx="6">
                  <c:v>Decelerate Descend</c:v>
                </c:pt>
                <c:pt idx="7">
                  <c:v>Arrive Procedures</c:v>
                </c:pt>
                <c:pt idx="8">
                  <c:v>Transition Descend</c:v>
                </c:pt>
                <c:pt idx="9">
                  <c:v>Hover Descend</c:v>
                </c:pt>
                <c:pt idx="10">
                  <c:v>Arrive Taxi</c:v>
                </c:pt>
                <c:pt idx="11">
                  <c:v>Reserve Hover Climb</c:v>
                </c:pt>
                <c:pt idx="12">
                  <c:v>Reserve Transition Climb</c:v>
                </c:pt>
                <c:pt idx="13">
                  <c:v>Reserve Accelerate Climb</c:v>
                </c:pt>
                <c:pt idx="14">
                  <c:v>Reserve Cruise</c:v>
                </c:pt>
                <c:pt idx="15">
                  <c:v>Reserve Decelerate Descend</c:v>
                </c:pt>
                <c:pt idx="16">
                  <c:v>Reserve Transition Descend</c:v>
                </c:pt>
                <c:pt idx="17">
                  <c:v>Reserve Hover Descend</c:v>
                </c:pt>
              </c:strCache>
            </c:strRef>
          </c:cat>
          <c:val>
            <c:numRef>
              <c:f>'1500 ft'!$C$8:$T$8</c:f>
              <c:numCache>
                <c:formatCode>General</c:formatCode>
                <c:ptCount val="18"/>
                <c:pt idx="0">
                  <c:v>0.004173</c:v>
                </c:pt>
                <c:pt idx="1">
                  <c:v>0.188709</c:v>
                </c:pt>
                <c:pt idx="2">
                  <c:v>2.153167</c:v>
                </c:pt>
                <c:pt idx="3">
                  <c:v>0.603786</c:v>
                </c:pt>
                <c:pt idx="4">
                  <c:v>3.756457</c:v>
                </c:pt>
                <c:pt idx="5">
                  <c:v>67.543989</c:v>
                </c:pt>
                <c:pt idx="6">
                  <c:v>1.257493</c:v>
                </c:pt>
                <c:pt idx="7">
                  <c:v>0.603786</c:v>
                </c:pt>
                <c:pt idx="8">
                  <c:v>0.151246</c:v>
                </c:pt>
                <c:pt idx="9">
                  <c:v>0.158723</c:v>
                </c:pt>
                <c:pt idx="10">
                  <c:v>0.004173</c:v>
                </c:pt>
                <c:pt idx="11">
                  <c:v>0.188709</c:v>
                </c:pt>
                <c:pt idx="12">
                  <c:v>2.153167</c:v>
                </c:pt>
                <c:pt idx="13">
                  <c:v>1.643024</c:v>
                </c:pt>
                <c:pt idx="14">
                  <c:v>8.240661</c:v>
                </c:pt>
                <c:pt idx="15">
                  <c:v>0.172619</c:v>
                </c:pt>
                <c:pt idx="16">
                  <c:v>0.150057</c:v>
                </c:pt>
                <c:pt idx="17">
                  <c:v>0.158723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28526186"/>
        <c:axId val="39651681"/>
      </c:barChart>
      <c:catAx>
        <c:axId val="12852618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altLang="en-US" sz="1400"/>
                  <a:t>Mission Segment</a:t>
                </a:r>
                <a:endParaRPr lang="vi-VN" altLang="en-US" sz="1400"/>
              </a:p>
            </c:rich>
          </c:tx>
          <c:layout>
            <c:manualLayout>
              <c:xMode val="edge"/>
              <c:yMode val="edge"/>
              <c:x val="0.41184803605924"/>
              <c:y val="0.849354180829368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651681"/>
        <c:crosses val="autoZero"/>
        <c:auto val="1"/>
        <c:lblAlgn val="ctr"/>
        <c:lblOffset val="100"/>
        <c:noMultiLvlLbl val="0"/>
      </c:catAx>
      <c:valAx>
        <c:axId val="3965168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Energy (kW hr)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119124275595621"/>
              <c:y val="0.29288919102651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852618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303273601600808"/>
          <c:y val="0.914693683649157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d022dfe-ae49-4803-bf69-c648dbeee27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altLang="en-US" sz="1600"/>
              <a:t>Mission Segment Energy</a:t>
            </a:r>
            <a:endParaRPr lang="vi-VN" altLang="en-US" sz="16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altLang="en-US" sz="1600" b="0"/>
              <a:t>1500 ft - 60 mi</a:t>
            </a:r>
            <a:endParaRPr lang="vi-VN" altLang="en-US" sz="1600" b="0"/>
          </a:p>
        </c:rich>
      </c:tx>
      <c:layout>
        <c:manualLayout>
          <c:xMode val="edge"/>
          <c:yMode val="edge"/>
          <c:x val="0.349806825499034"/>
          <c:y val="0.019578518014955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'1500 ft'!$B$10</c:f>
              <c:strCache>
                <c:ptCount val="1"/>
                <c:pt idx="0">
                  <c:v>Archer Midnight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'1500 ft'!$C$1:$T$1</c:f>
              <c:strCache>
                <c:ptCount val="18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</c:v>
                </c:pt>
                <c:pt idx="6">
                  <c:v>Decelerate Descend</c:v>
                </c:pt>
                <c:pt idx="7">
                  <c:v>Arrive Procedures</c:v>
                </c:pt>
                <c:pt idx="8">
                  <c:v>Transition Descend</c:v>
                </c:pt>
                <c:pt idx="9">
                  <c:v>Hover Descend</c:v>
                </c:pt>
                <c:pt idx="10">
                  <c:v>Arrive Taxi</c:v>
                </c:pt>
                <c:pt idx="11">
                  <c:v>Reserve Hover Climb</c:v>
                </c:pt>
                <c:pt idx="12">
                  <c:v>Reserve Transition Climb</c:v>
                </c:pt>
                <c:pt idx="13">
                  <c:v>Reserve Accelerate Climb</c:v>
                </c:pt>
                <c:pt idx="14">
                  <c:v>Reserve Cruise</c:v>
                </c:pt>
                <c:pt idx="15">
                  <c:v>Reserve Decelerate Descend</c:v>
                </c:pt>
                <c:pt idx="16">
                  <c:v>Reserve Transition Descend</c:v>
                </c:pt>
                <c:pt idx="17">
                  <c:v>Reserve Hover Descend</c:v>
                </c:pt>
              </c:strCache>
            </c:strRef>
          </c:cat>
          <c:val>
            <c:numRef>
              <c:f>'1500 ft'!$C$10:$T$10</c:f>
              <c:numCache>
                <c:formatCode>General</c:formatCode>
                <c:ptCount val="18"/>
                <c:pt idx="0">
                  <c:v>0.00414</c:v>
                </c:pt>
                <c:pt idx="1">
                  <c:v>0.187235</c:v>
                </c:pt>
                <c:pt idx="2">
                  <c:v>2.104751</c:v>
                </c:pt>
                <c:pt idx="3">
                  <c:v>0.55039</c:v>
                </c:pt>
                <c:pt idx="4">
                  <c:v>3.460097</c:v>
                </c:pt>
                <c:pt idx="5">
                  <c:v>94.685344</c:v>
                </c:pt>
                <c:pt idx="6">
                  <c:v>0.980656</c:v>
                </c:pt>
                <c:pt idx="7">
                  <c:v>0.55039</c:v>
                </c:pt>
                <c:pt idx="8">
                  <c:v>0.1567</c:v>
                </c:pt>
                <c:pt idx="9">
                  <c:v>0.157483</c:v>
                </c:pt>
                <c:pt idx="10">
                  <c:v>0.00414</c:v>
                </c:pt>
                <c:pt idx="11">
                  <c:v>0.187235</c:v>
                </c:pt>
                <c:pt idx="12">
                  <c:v>2.104751</c:v>
                </c:pt>
                <c:pt idx="13">
                  <c:v>1.585685</c:v>
                </c:pt>
                <c:pt idx="14">
                  <c:v>8.297933</c:v>
                </c:pt>
                <c:pt idx="15">
                  <c:v>0.180616</c:v>
                </c:pt>
                <c:pt idx="16">
                  <c:v>0.155519</c:v>
                </c:pt>
                <c:pt idx="17">
                  <c:v>0.157483</c:v>
                </c:pt>
              </c:numCache>
            </c:numRef>
          </c:val>
        </c:ser>
        <c:ser>
          <c:idx val="1"/>
          <c:order val="1"/>
          <c:tx>
            <c:strRef>
              <c:f>'1500 ft'!$B$11</c:f>
              <c:strCache>
                <c:ptCount val="1"/>
                <c:pt idx="0">
                  <c:v>Joby S4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'1500 ft'!$C$1:$T$1</c:f>
              <c:strCache>
                <c:ptCount val="18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</c:v>
                </c:pt>
                <c:pt idx="6">
                  <c:v>Decelerate Descend</c:v>
                </c:pt>
                <c:pt idx="7">
                  <c:v>Arrive Procedures</c:v>
                </c:pt>
                <c:pt idx="8">
                  <c:v>Transition Descend</c:v>
                </c:pt>
                <c:pt idx="9">
                  <c:v>Hover Descend</c:v>
                </c:pt>
                <c:pt idx="10">
                  <c:v>Arrive Taxi</c:v>
                </c:pt>
                <c:pt idx="11">
                  <c:v>Reserve Hover Climb</c:v>
                </c:pt>
                <c:pt idx="12">
                  <c:v>Reserve Transition Climb</c:v>
                </c:pt>
                <c:pt idx="13">
                  <c:v>Reserve Accelerate Climb</c:v>
                </c:pt>
                <c:pt idx="14">
                  <c:v>Reserve Cruise</c:v>
                </c:pt>
                <c:pt idx="15">
                  <c:v>Reserve Decelerate Descend</c:v>
                </c:pt>
                <c:pt idx="16">
                  <c:v>Reserve Transition Descend</c:v>
                </c:pt>
                <c:pt idx="17">
                  <c:v>Reserve Hover Descend</c:v>
                </c:pt>
              </c:strCache>
            </c:strRef>
          </c:cat>
          <c:val>
            <c:numRef>
              <c:f>'1500 ft'!$C$11:$T$11</c:f>
              <c:numCache>
                <c:formatCode>General</c:formatCode>
                <c:ptCount val="18"/>
                <c:pt idx="0">
                  <c:v>0.003135</c:v>
                </c:pt>
                <c:pt idx="1">
                  <c:v>0.141768</c:v>
                </c:pt>
                <c:pt idx="2">
                  <c:v>1.805163</c:v>
                </c:pt>
                <c:pt idx="3">
                  <c:v>0.530053</c:v>
                </c:pt>
                <c:pt idx="4">
                  <c:v>2.927872</c:v>
                </c:pt>
                <c:pt idx="5">
                  <c:v>59.599479</c:v>
                </c:pt>
                <c:pt idx="6">
                  <c:v>1.050524</c:v>
                </c:pt>
                <c:pt idx="7">
                  <c:v>0.530053</c:v>
                </c:pt>
                <c:pt idx="8">
                  <c:v>0.074229</c:v>
                </c:pt>
                <c:pt idx="9">
                  <c:v>0.119241</c:v>
                </c:pt>
                <c:pt idx="10">
                  <c:v>0.003135</c:v>
                </c:pt>
                <c:pt idx="11">
                  <c:v>0.141768</c:v>
                </c:pt>
                <c:pt idx="12">
                  <c:v>1.805163</c:v>
                </c:pt>
                <c:pt idx="13">
                  <c:v>1.25196</c:v>
                </c:pt>
                <c:pt idx="14">
                  <c:v>5.223116</c:v>
                </c:pt>
                <c:pt idx="15">
                  <c:v>0.125976</c:v>
                </c:pt>
                <c:pt idx="16">
                  <c:v>0.073335</c:v>
                </c:pt>
                <c:pt idx="17">
                  <c:v>0.119241</c:v>
                </c:pt>
              </c:numCache>
            </c:numRef>
          </c:val>
        </c:ser>
        <c:ser>
          <c:idx val="2"/>
          <c:order val="2"/>
          <c:tx>
            <c:strRef>
              <c:f>'1500 ft'!$B$12</c:f>
              <c:strCache>
                <c:ptCount val="1"/>
                <c:pt idx="0">
                  <c:v>Supernal S-A2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'1500 ft'!$C$1:$T$1</c:f>
              <c:strCache>
                <c:ptCount val="18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</c:v>
                </c:pt>
                <c:pt idx="6">
                  <c:v>Decelerate Descend</c:v>
                </c:pt>
                <c:pt idx="7">
                  <c:v>Arrive Procedures</c:v>
                </c:pt>
                <c:pt idx="8">
                  <c:v>Transition Descend</c:v>
                </c:pt>
                <c:pt idx="9">
                  <c:v>Hover Descend</c:v>
                </c:pt>
                <c:pt idx="10">
                  <c:v>Arrive Taxi</c:v>
                </c:pt>
                <c:pt idx="11">
                  <c:v>Reserve Hover Climb</c:v>
                </c:pt>
                <c:pt idx="12">
                  <c:v>Reserve Transition Climb</c:v>
                </c:pt>
                <c:pt idx="13">
                  <c:v>Reserve Accelerate Climb</c:v>
                </c:pt>
                <c:pt idx="14">
                  <c:v>Reserve Cruise</c:v>
                </c:pt>
                <c:pt idx="15">
                  <c:v>Reserve Decelerate Descend</c:v>
                </c:pt>
                <c:pt idx="16">
                  <c:v>Reserve Transition Descend</c:v>
                </c:pt>
                <c:pt idx="17">
                  <c:v>Reserve Hover Descend</c:v>
                </c:pt>
              </c:strCache>
            </c:strRef>
          </c:cat>
          <c:val>
            <c:numRef>
              <c:f>'1500 ft'!$C$12:$T$12</c:f>
              <c:numCache>
                <c:formatCode>General</c:formatCode>
                <c:ptCount val="18"/>
                <c:pt idx="0">
                  <c:v>0.004173</c:v>
                </c:pt>
                <c:pt idx="1">
                  <c:v>0.188709</c:v>
                </c:pt>
                <c:pt idx="2">
                  <c:v>2.153167</c:v>
                </c:pt>
                <c:pt idx="3">
                  <c:v>0.603786</c:v>
                </c:pt>
                <c:pt idx="4">
                  <c:v>3.756457</c:v>
                </c:pt>
                <c:pt idx="5">
                  <c:v>94.031828</c:v>
                </c:pt>
                <c:pt idx="6">
                  <c:v>1.257493</c:v>
                </c:pt>
                <c:pt idx="7">
                  <c:v>0.603786</c:v>
                </c:pt>
                <c:pt idx="8">
                  <c:v>0.151246</c:v>
                </c:pt>
                <c:pt idx="9">
                  <c:v>0.158723</c:v>
                </c:pt>
                <c:pt idx="10">
                  <c:v>0.004173</c:v>
                </c:pt>
                <c:pt idx="11">
                  <c:v>0.188709</c:v>
                </c:pt>
                <c:pt idx="12">
                  <c:v>2.153167</c:v>
                </c:pt>
                <c:pt idx="13">
                  <c:v>1.643024</c:v>
                </c:pt>
                <c:pt idx="14">
                  <c:v>8.240661</c:v>
                </c:pt>
                <c:pt idx="15">
                  <c:v>0.172619</c:v>
                </c:pt>
                <c:pt idx="16">
                  <c:v>0.150057</c:v>
                </c:pt>
                <c:pt idx="17">
                  <c:v>0.158723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28526186"/>
        <c:axId val="39651681"/>
      </c:barChart>
      <c:catAx>
        <c:axId val="12852618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altLang="en-US" sz="1400"/>
                  <a:t>Mission Segment</a:t>
                </a:r>
                <a:endParaRPr lang="vi-VN" altLang="en-US" sz="1400"/>
              </a:p>
            </c:rich>
          </c:tx>
          <c:layout>
            <c:manualLayout>
              <c:xMode val="edge"/>
              <c:yMode val="edge"/>
              <c:x val="0.41184803605924"/>
              <c:y val="0.849354180829368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651681"/>
        <c:crosses val="autoZero"/>
        <c:auto val="1"/>
        <c:lblAlgn val="ctr"/>
        <c:lblOffset val="100"/>
        <c:noMultiLvlLbl val="0"/>
      </c:catAx>
      <c:valAx>
        <c:axId val="3965168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Energy (kW hr)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119124275595621"/>
              <c:y val="0.29288919102651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852618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314592723760464"/>
          <c:y val="0.914643541936146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d022dfe-ae49-4803-bf69-c648dbeee27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Mission Segment Energy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 b="0"/>
              <a:t>1500 ft</a:t>
            </a:r>
            <a:endParaRPr sz="1800" b="0"/>
          </a:p>
        </c:rich>
      </c:tx>
      <c:layout>
        <c:manualLayout>
          <c:xMode val="edge"/>
          <c:yMode val="edge"/>
          <c:x val="0.379917933864349"/>
          <c:y val="0.018585430484332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64031907179115"/>
          <c:y val="0.173320615887723"/>
          <c:w val="0.907643219724438"/>
          <c:h val="0.3794794931189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'1500 ft'!$U$40</c:f>
              <c:strCache>
                <c:ptCount val="1"/>
                <c:pt idx="0">
                  <c:v>Archer Midnight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'1500 ft'!$T$41:$T$60</c:f>
              <c:strCache>
                <c:ptCount val="20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 (30 mi)</c:v>
                </c:pt>
                <c:pt idx="6">
                  <c:v>Cruise (45 mi)</c:v>
                </c:pt>
                <c:pt idx="7">
                  <c:v>Cruise (60 mi)</c:v>
                </c:pt>
                <c:pt idx="8">
                  <c:v>Decelerate Descend</c:v>
                </c:pt>
                <c:pt idx="9">
                  <c:v>Arrive Procedures</c:v>
                </c:pt>
                <c:pt idx="10">
                  <c:v>Transition Descend</c:v>
                </c:pt>
                <c:pt idx="11">
                  <c:v>Hover Descend</c:v>
                </c:pt>
                <c:pt idx="12">
                  <c:v>Arrive Taxi</c:v>
                </c:pt>
                <c:pt idx="13">
                  <c:v>Reserve Hover Climb</c:v>
                </c:pt>
                <c:pt idx="14">
                  <c:v>Reserve Transition Climb</c:v>
                </c:pt>
                <c:pt idx="15">
                  <c:v>Reserve Accelerate Climb</c:v>
                </c:pt>
                <c:pt idx="16">
                  <c:v>Reserve Cruise</c:v>
                </c:pt>
                <c:pt idx="17">
                  <c:v>Reserve Decelerate Descend</c:v>
                </c:pt>
                <c:pt idx="18">
                  <c:v>Reserve Transition Descend</c:v>
                </c:pt>
                <c:pt idx="19">
                  <c:v>Reserve Hover Descend</c:v>
                </c:pt>
              </c:strCache>
            </c:strRef>
          </c:cat>
          <c:val>
            <c:numRef>
              <c:f>'1500 ft'!$U$41:$U$60</c:f>
              <c:numCache>
                <c:formatCode>General</c:formatCode>
                <c:ptCount val="20"/>
                <c:pt idx="0">
                  <c:v>0.00414</c:v>
                </c:pt>
                <c:pt idx="1">
                  <c:v>0.187235</c:v>
                </c:pt>
                <c:pt idx="2">
                  <c:v>2.104751</c:v>
                </c:pt>
                <c:pt idx="3">
                  <c:v>0.55039</c:v>
                </c:pt>
                <c:pt idx="4">
                  <c:v>3.460097</c:v>
                </c:pt>
                <c:pt idx="5">
                  <c:v>41.341488</c:v>
                </c:pt>
                <c:pt idx="6">
                  <c:v>68.013416</c:v>
                </c:pt>
                <c:pt idx="7">
                  <c:v>94.685344</c:v>
                </c:pt>
                <c:pt idx="8">
                  <c:v>0.980656</c:v>
                </c:pt>
                <c:pt idx="9">
                  <c:v>0.55039</c:v>
                </c:pt>
                <c:pt idx="10">
                  <c:v>0.1567</c:v>
                </c:pt>
                <c:pt idx="11">
                  <c:v>0.157483</c:v>
                </c:pt>
                <c:pt idx="12">
                  <c:v>0.00414</c:v>
                </c:pt>
                <c:pt idx="13">
                  <c:v>0.187235</c:v>
                </c:pt>
                <c:pt idx="14">
                  <c:v>2.104751</c:v>
                </c:pt>
                <c:pt idx="15">
                  <c:v>1.585685</c:v>
                </c:pt>
                <c:pt idx="16">
                  <c:v>8.297933</c:v>
                </c:pt>
                <c:pt idx="17">
                  <c:v>0.180616</c:v>
                </c:pt>
                <c:pt idx="18">
                  <c:v>0.155519</c:v>
                </c:pt>
                <c:pt idx="19">
                  <c:v>0.157483</c:v>
                </c:pt>
              </c:numCache>
            </c:numRef>
          </c:val>
        </c:ser>
        <c:ser>
          <c:idx val="1"/>
          <c:order val="1"/>
          <c:tx>
            <c:strRef>
              <c:f>'1500 ft'!$V$40</c:f>
              <c:strCache>
                <c:ptCount val="1"/>
                <c:pt idx="0">
                  <c:v>Joby S4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'1500 ft'!$T$41:$T$60</c:f>
              <c:strCache>
                <c:ptCount val="20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 (30 mi)</c:v>
                </c:pt>
                <c:pt idx="6">
                  <c:v>Cruise (45 mi)</c:v>
                </c:pt>
                <c:pt idx="7">
                  <c:v>Cruise (60 mi)</c:v>
                </c:pt>
                <c:pt idx="8">
                  <c:v>Decelerate Descend</c:v>
                </c:pt>
                <c:pt idx="9">
                  <c:v>Arrive Procedures</c:v>
                </c:pt>
                <c:pt idx="10">
                  <c:v>Transition Descend</c:v>
                </c:pt>
                <c:pt idx="11">
                  <c:v>Hover Descend</c:v>
                </c:pt>
                <c:pt idx="12">
                  <c:v>Arrive Taxi</c:v>
                </c:pt>
                <c:pt idx="13">
                  <c:v>Reserve Hover Climb</c:v>
                </c:pt>
                <c:pt idx="14">
                  <c:v>Reserve Transition Climb</c:v>
                </c:pt>
                <c:pt idx="15">
                  <c:v>Reserve Accelerate Climb</c:v>
                </c:pt>
                <c:pt idx="16">
                  <c:v>Reserve Cruise</c:v>
                </c:pt>
                <c:pt idx="17">
                  <c:v>Reserve Decelerate Descend</c:v>
                </c:pt>
                <c:pt idx="18">
                  <c:v>Reserve Transition Descend</c:v>
                </c:pt>
                <c:pt idx="19">
                  <c:v>Reserve Hover Descend</c:v>
                </c:pt>
              </c:strCache>
            </c:strRef>
          </c:cat>
          <c:val>
            <c:numRef>
              <c:f>'1500 ft'!$V$41:$V$60</c:f>
              <c:numCache>
                <c:formatCode>General</c:formatCode>
                <c:ptCount val="20"/>
                <c:pt idx="0">
                  <c:v>0.003135</c:v>
                </c:pt>
                <c:pt idx="1">
                  <c:v>0.141768</c:v>
                </c:pt>
                <c:pt idx="2">
                  <c:v>1.805163</c:v>
                </c:pt>
                <c:pt idx="3">
                  <c:v>0.530053</c:v>
                </c:pt>
                <c:pt idx="4">
                  <c:v>2.927872</c:v>
                </c:pt>
                <c:pt idx="5">
                  <c:v>26.022308</c:v>
                </c:pt>
                <c:pt idx="6">
                  <c:v>42.810893</c:v>
                </c:pt>
                <c:pt idx="7">
                  <c:v>59.599479</c:v>
                </c:pt>
                <c:pt idx="8">
                  <c:v>1.050524</c:v>
                </c:pt>
                <c:pt idx="9">
                  <c:v>0.530053</c:v>
                </c:pt>
                <c:pt idx="10">
                  <c:v>0.074229</c:v>
                </c:pt>
                <c:pt idx="11">
                  <c:v>0.119241</c:v>
                </c:pt>
                <c:pt idx="12">
                  <c:v>0.003135</c:v>
                </c:pt>
                <c:pt idx="13">
                  <c:v>0.141768</c:v>
                </c:pt>
                <c:pt idx="14">
                  <c:v>1.805163</c:v>
                </c:pt>
                <c:pt idx="15">
                  <c:v>1.25196</c:v>
                </c:pt>
                <c:pt idx="16">
                  <c:v>5.223116</c:v>
                </c:pt>
                <c:pt idx="17">
                  <c:v>0.125976</c:v>
                </c:pt>
                <c:pt idx="18">
                  <c:v>0.073335</c:v>
                </c:pt>
                <c:pt idx="19">
                  <c:v>0.119241</c:v>
                </c:pt>
              </c:numCache>
            </c:numRef>
          </c:val>
        </c:ser>
        <c:ser>
          <c:idx val="2"/>
          <c:order val="2"/>
          <c:tx>
            <c:strRef>
              <c:f>'1500 ft'!$W$40</c:f>
              <c:strCache>
                <c:ptCount val="1"/>
                <c:pt idx="0">
                  <c:v>Supernal S-A2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'1500 ft'!$T$41:$T$60</c:f>
              <c:strCache>
                <c:ptCount val="20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 (30 mi)</c:v>
                </c:pt>
                <c:pt idx="6">
                  <c:v>Cruise (45 mi)</c:v>
                </c:pt>
                <c:pt idx="7">
                  <c:v>Cruise (60 mi)</c:v>
                </c:pt>
                <c:pt idx="8">
                  <c:v>Decelerate Descend</c:v>
                </c:pt>
                <c:pt idx="9">
                  <c:v>Arrive Procedures</c:v>
                </c:pt>
                <c:pt idx="10">
                  <c:v>Transition Descend</c:v>
                </c:pt>
                <c:pt idx="11">
                  <c:v>Hover Descend</c:v>
                </c:pt>
                <c:pt idx="12">
                  <c:v>Arrive Taxi</c:v>
                </c:pt>
                <c:pt idx="13">
                  <c:v>Reserve Hover Climb</c:v>
                </c:pt>
                <c:pt idx="14">
                  <c:v>Reserve Transition Climb</c:v>
                </c:pt>
                <c:pt idx="15">
                  <c:v>Reserve Accelerate Climb</c:v>
                </c:pt>
                <c:pt idx="16">
                  <c:v>Reserve Cruise</c:v>
                </c:pt>
                <c:pt idx="17">
                  <c:v>Reserve Decelerate Descend</c:v>
                </c:pt>
                <c:pt idx="18">
                  <c:v>Reserve Transition Descend</c:v>
                </c:pt>
                <c:pt idx="19">
                  <c:v>Reserve Hover Descend</c:v>
                </c:pt>
              </c:strCache>
            </c:strRef>
          </c:cat>
          <c:val>
            <c:numRef>
              <c:f>'1500 ft'!$W$41:$W$60</c:f>
              <c:numCache>
                <c:formatCode>General</c:formatCode>
                <c:ptCount val="20"/>
                <c:pt idx="0">
                  <c:v>0.004173</c:v>
                </c:pt>
                <c:pt idx="1">
                  <c:v>0.188709</c:v>
                </c:pt>
                <c:pt idx="2">
                  <c:v>2.153167</c:v>
                </c:pt>
                <c:pt idx="3">
                  <c:v>0.603786</c:v>
                </c:pt>
                <c:pt idx="4">
                  <c:v>3.756457</c:v>
                </c:pt>
                <c:pt idx="5">
                  <c:v>41.05615</c:v>
                </c:pt>
                <c:pt idx="6">
                  <c:v>67.543989</c:v>
                </c:pt>
                <c:pt idx="7">
                  <c:v>94.031828</c:v>
                </c:pt>
                <c:pt idx="8">
                  <c:v>1.257493</c:v>
                </c:pt>
                <c:pt idx="9">
                  <c:v>0.603786</c:v>
                </c:pt>
                <c:pt idx="10">
                  <c:v>0.151246</c:v>
                </c:pt>
                <c:pt idx="11">
                  <c:v>0.158723</c:v>
                </c:pt>
                <c:pt idx="12">
                  <c:v>0.004173</c:v>
                </c:pt>
                <c:pt idx="13">
                  <c:v>0.188709</c:v>
                </c:pt>
                <c:pt idx="14">
                  <c:v>2.153167</c:v>
                </c:pt>
                <c:pt idx="15">
                  <c:v>1.643024</c:v>
                </c:pt>
                <c:pt idx="16">
                  <c:v>8.240661</c:v>
                </c:pt>
                <c:pt idx="17">
                  <c:v>0.172619</c:v>
                </c:pt>
                <c:pt idx="18">
                  <c:v>0.150057</c:v>
                </c:pt>
                <c:pt idx="19">
                  <c:v>0.158723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19840387"/>
        <c:axId val="144084049"/>
      </c:barChart>
      <c:catAx>
        <c:axId val="71984038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600"/>
                  <a:t>Mission Segment</a:t>
                </a:r>
                <a:endParaRPr sz="1600"/>
              </a:p>
            </c:rich>
          </c:tx>
          <c:layout>
            <c:manualLayout>
              <c:xMode val="edge"/>
              <c:yMode val="edge"/>
              <c:x val="0.416758295665141"/>
              <c:y val="0.852335708630245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4084049"/>
        <c:crosses val="autoZero"/>
        <c:auto val="1"/>
        <c:lblAlgn val="ctr"/>
        <c:lblOffset val="100"/>
        <c:noMultiLvlLbl val="0"/>
      </c:catAx>
      <c:valAx>
        <c:axId val="144084049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Energy (kW hr)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159744408945687"/>
              <c:y val="0.31282323299297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98403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329763287830381"/>
          <c:y val="0.91552844450338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91ebc11-a6d5-44a7-a163-6ed4b9ec034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altLang="en-US" sz="1600"/>
              <a:t>Mission Segment Energy</a:t>
            </a:r>
            <a:endParaRPr lang="vi-VN" altLang="en-US" sz="16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altLang="en-US" sz="1600" b="0"/>
              <a:t>3000 ft - 30 mi</a:t>
            </a:r>
            <a:endParaRPr lang="vi-VN" altLang="en-US" sz="1600" b="0"/>
          </a:p>
        </c:rich>
      </c:tx>
      <c:layout>
        <c:manualLayout>
          <c:xMode val="edge"/>
          <c:yMode val="edge"/>
          <c:x val="0.349806825499034"/>
          <c:y val="0.019578518014955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"Archer Midnight"</c:f>
              <c:strCache>
                <c:ptCount val="1"/>
                <c:pt idx="0">
                  <c:v>Archer Midnight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'3000 ft'!$C$1:$T$1</c:f>
              <c:strCache>
                <c:ptCount val="18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</c:v>
                </c:pt>
                <c:pt idx="6">
                  <c:v>Decelerate Descend</c:v>
                </c:pt>
                <c:pt idx="7">
                  <c:v>Arrive Procedures</c:v>
                </c:pt>
                <c:pt idx="8">
                  <c:v>Transition Descend</c:v>
                </c:pt>
                <c:pt idx="9">
                  <c:v>Hover Descend</c:v>
                </c:pt>
                <c:pt idx="10">
                  <c:v>Arrive Taxi</c:v>
                </c:pt>
                <c:pt idx="11">
                  <c:v>Reserve Hover Climb</c:v>
                </c:pt>
                <c:pt idx="12">
                  <c:v>Reserve Transition Climb</c:v>
                </c:pt>
                <c:pt idx="13">
                  <c:v>Reserve Accelerate Climb</c:v>
                </c:pt>
                <c:pt idx="14">
                  <c:v>Reserve Cruise</c:v>
                </c:pt>
                <c:pt idx="15">
                  <c:v>Reserve Decelerate Descend</c:v>
                </c:pt>
                <c:pt idx="16">
                  <c:v>Reserve Transition Descend</c:v>
                </c:pt>
                <c:pt idx="17">
                  <c:v>Reserve Hover Descend</c:v>
                </c:pt>
              </c:strCache>
            </c:strRef>
          </c:cat>
          <c:val>
            <c:numRef>
              <c:f>'3000 ft'!$C$2:$T$2</c:f>
              <c:numCache>
                <c:formatCode>General</c:formatCode>
                <c:ptCount val="18"/>
                <c:pt idx="0">
                  <c:v>0.00414</c:v>
                </c:pt>
                <c:pt idx="1">
                  <c:v>0.359594</c:v>
                </c:pt>
                <c:pt idx="2">
                  <c:v>2.837276</c:v>
                </c:pt>
                <c:pt idx="3">
                  <c:v>0.552865</c:v>
                </c:pt>
                <c:pt idx="4">
                  <c:v>5.71025</c:v>
                </c:pt>
                <c:pt idx="5">
                  <c:v>30.978339</c:v>
                </c:pt>
                <c:pt idx="6">
                  <c:v>3.223824</c:v>
                </c:pt>
                <c:pt idx="7">
                  <c:v>0.552865</c:v>
                </c:pt>
                <c:pt idx="8">
                  <c:v>0.091789</c:v>
                </c:pt>
                <c:pt idx="9">
                  <c:v>0.329842</c:v>
                </c:pt>
                <c:pt idx="10">
                  <c:v>0.00414</c:v>
                </c:pt>
                <c:pt idx="11">
                  <c:v>0.359594</c:v>
                </c:pt>
                <c:pt idx="12">
                  <c:v>2.837276</c:v>
                </c:pt>
                <c:pt idx="13">
                  <c:v>1.962046</c:v>
                </c:pt>
                <c:pt idx="14">
                  <c:v>5.932022</c:v>
                </c:pt>
                <c:pt idx="15">
                  <c:v>0.102141</c:v>
                </c:pt>
                <c:pt idx="16">
                  <c:v>0.097409</c:v>
                </c:pt>
                <c:pt idx="17">
                  <c:v>0.329842</c:v>
                </c:pt>
              </c:numCache>
            </c:numRef>
          </c:val>
        </c:ser>
        <c:ser>
          <c:idx val="1"/>
          <c:order val="1"/>
          <c:tx>
            <c:strRef>
              <c:f>"Joby S4"</c:f>
              <c:strCache>
                <c:ptCount val="1"/>
                <c:pt idx="0">
                  <c:v>Joby S4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'3000 ft'!$C$1:$T$1</c:f>
              <c:strCache>
                <c:ptCount val="18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</c:v>
                </c:pt>
                <c:pt idx="6">
                  <c:v>Decelerate Descend</c:v>
                </c:pt>
                <c:pt idx="7">
                  <c:v>Arrive Procedures</c:v>
                </c:pt>
                <c:pt idx="8">
                  <c:v>Transition Descend</c:v>
                </c:pt>
                <c:pt idx="9">
                  <c:v>Hover Descend</c:v>
                </c:pt>
                <c:pt idx="10">
                  <c:v>Arrive Taxi</c:v>
                </c:pt>
                <c:pt idx="11">
                  <c:v>Reserve Hover Climb</c:v>
                </c:pt>
                <c:pt idx="12">
                  <c:v>Reserve Transition Climb</c:v>
                </c:pt>
                <c:pt idx="13">
                  <c:v>Reserve Accelerate Climb</c:v>
                </c:pt>
                <c:pt idx="14">
                  <c:v>Reserve Cruise</c:v>
                </c:pt>
                <c:pt idx="15">
                  <c:v>Reserve Decelerate Descend</c:v>
                </c:pt>
                <c:pt idx="16">
                  <c:v>Reserve Transition Descend</c:v>
                </c:pt>
                <c:pt idx="17">
                  <c:v>Reserve Hover Descend</c:v>
                </c:pt>
              </c:strCache>
            </c:strRef>
          </c:cat>
          <c:val>
            <c:numRef>
              <c:f>'3000 ft'!$C$3:$T$3</c:f>
              <c:numCache>
                <c:formatCode>General</c:formatCode>
                <c:ptCount val="18"/>
                <c:pt idx="0">
                  <c:v>0.003135</c:v>
                </c:pt>
                <c:pt idx="1">
                  <c:v>0.272272</c:v>
                </c:pt>
                <c:pt idx="2">
                  <c:v>2.571291</c:v>
                </c:pt>
                <c:pt idx="3">
                  <c:v>0.531767</c:v>
                </c:pt>
                <c:pt idx="4">
                  <c:v>4.937473</c:v>
                </c:pt>
                <c:pt idx="5">
                  <c:v>19.841049</c:v>
                </c:pt>
                <c:pt idx="6">
                  <c:v>3.054837</c:v>
                </c:pt>
                <c:pt idx="7">
                  <c:v>0.531767</c:v>
                </c:pt>
                <c:pt idx="8">
                  <c:v>0.492503</c:v>
                </c:pt>
                <c:pt idx="9">
                  <c:v>0.249745</c:v>
                </c:pt>
                <c:pt idx="10">
                  <c:v>0.003135</c:v>
                </c:pt>
                <c:pt idx="11">
                  <c:v>0.272272</c:v>
                </c:pt>
                <c:pt idx="12">
                  <c:v>2.571291</c:v>
                </c:pt>
                <c:pt idx="13">
                  <c:v>1.587904</c:v>
                </c:pt>
                <c:pt idx="14">
                  <c:v>3.79935</c:v>
                </c:pt>
                <c:pt idx="15">
                  <c:v>0.055852</c:v>
                </c:pt>
                <c:pt idx="16">
                  <c:v>0.496759</c:v>
                </c:pt>
                <c:pt idx="17">
                  <c:v>0.249745</c:v>
                </c:pt>
              </c:numCache>
            </c:numRef>
          </c:val>
        </c:ser>
        <c:ser>
          <c:idx val="2"/>
          <c:order val="2"/>
          <c:tx>
            <c:strRef>
              <c:f>"Supernal S-A2"</c:f>
              <c:strCache>
                <c:ptCount val="1"/>
                <c:pt idx="0">
                  <c:v>Supernal S-A2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'3000 ft'!$C$1:$T$1</c:f>
              <c:strCache>
                <c:ptCount val="18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</c:v>
                </c:pt>
                <c:pt idx="6">
                  <c:v>Decelerate Descend</c:v>
                </c:pt>
                <c:pt idx="7">
                  <c:v>Arrive Procedures</c:v>
                </c:pt>
                <c:pt idx="8">
                  <c:v>Transition Descend</c:v>
                </c:pt>
                <c:pt idx="9">
                  <c:v>Hover Descend</c:v>
                </c:pt>
                <c:pt idx="10">
                  <c:v>Arrive Taxi</c:v>
                </c:pt>
                <c:pt idx="11">
                  <c:v>Reserve Hover Climb</c:v>
                </c:pt>
                <c:pt idx="12">
                  <c:v>Reserve Transition Climb</c:v>
                </c:pt>
                <c:pt idx="13">
                  <c:v>Reserve Accelerate Climb</c:v>
                </c:pt>
                <c:pt idx="14">
                  <c:v>Reserve Cruise</c:v>
                </c:pt>
                <c:pt idx="15">
                  <c:v>Reserve Decelerate Descend</c:v>
                </c:pt>
                <c:pt idx="16">
                  <c:v>Reserve Transition Descend</c:v>
                </c:pt>
                <c:pt idx="17">
                  <c:v>Reserve Hover Descend</c:v>
                </c:pt>
              </c:strCache>
            </c:strRef>
          </c:cat>
          <c:val>
            <c:numRef>
              <c:f>'3000 ft'!$C$4:$T$4</c:f>
              <c:numCache>
                <c:formatCode>General</c:formatCode>
                <c:ptCount val="18"/>
                <c:pt idx="0">
                  <c:v>0.004173</c:v>
                </c:pt>
                <c:pt idx="1">
                  <c:v>0.362425</c:v>
                </c:pt>
                <c:pt idx="2">
                  <c:v>2.923309</c:v>
                </c:pt>
                <c:pt idx="3">
                  <c:v>0.606305</c:v>
                </c:pt>
                <c:pt idx="4">
                  <c:v>6.293784</c:v>
                </c:pt>
                <c:pt idx="5">
                  <c:v>30.986</c:v>
                </c:pt>
                <c:pt idx="6">
                  <c:v>3.78778</c:v>
                </c:pt>
                <c:pt idx="7">
                  <c:v>0.606305</c:v>
                </c:pt>
                <c:pt idx="8">
                  <c:v>0.156204</c:v>
                </c:pt>
                <c:pt idx="9">
                  <c:v>0.332439</c:v>
                </c:pt>
                <c:pt idx="10">
                  <c:v>0.004173</c:v>
                </c:pt>
                <c:pt idx="11">
                  <c:v>0.362425</c:v>
                </c:pt>
                <c:pt idx="12">
                  <c:v>2.923309</c:v>
                </c:pt>
                <c:pt idx="13">
                  <c:v>2.067257</c:v>
                </c:pt>
                <c:pt idx="14">
                  <c:v>5.933489</c:v>
                </c:pt>
                <c:pt idx="15">
                  <c:v>0.084095</c:v>
                </c:pt>
                <c:pt idx="16">
                  <c:v>0.161869</c:v>
                </c:pt>
                <c:pt idx="17">
                  <c:v>0.332439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28526186"/>
        <c:axId val="39651681"/>
      </c:barChart>
      <c:catAx>
        <c:axId val="12852618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altLang="en-US" sz="1400"/>
                  <a:t>Mission Segment</a:t>
                </a:r>
                <a:endParaRPr lang="vi-VN" altLang="en-US" sz="1400"/>
              </a:p>
            </c:rich>
          </c:tx>
          <c:layout>
            <c:manualLayout>
              <c:xMode val="edge"/>
              <c:yMode val="edge"/>
              <c:x val="0.41184803605924"/>
              <c:y val="0.849354180829368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651681"/>
        <c:crosses val="autoZero"/>
        <c:auto val="1"/>
        <c:lblAlgn val="ctr"/>
        <c:lblOffset val="100"/>
        <c:noMultiLvlLbl val="0"/>
      </c:catAx>
      <c:valAx>
        <c:axId val="3965168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Energy (kW hr)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119124275595621"/>
              <c:y val="0.29288919102651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852618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314592723760464"/>
          <c:y val="0.916927260367097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d022dfe-ae49-4803-bf69-c648dbeee27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altLang="en-US" sz="1600"/>
              <a:t>Mission Segment Energy</a:t>
            </a:r>
            <a:endParaRPr lang="vi-VN" altLang="en-US" sz="16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altLang="en-US" sz="1600" b="0"/>
              <a:t>3000 ft - 45 mi</a:t>
            </a:r>
            <a:endParaRPr lang="vi-VN" altLang="en-US" sz="1600" b="0"/>
          </a:p>
        </c:rich>
      </c:tx>
      <c:layout>
        <c:manualLayout>
          <c:xMode val="edge"/>
          <c:yMode val="edge"/>
          <c:x val="0.349806825499034"/>
          <c:y val="0.019578518014955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'3000 ft'!$B$2</c:f>
              <c:strCache>
                <c:ptCount val="1"/>
                <c:pt idx="0">
                  <c:v>Archer Midnight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'3000 ft'!$C$1:$T$1</c:f>
              <c:strCache>
                <c:ptCount val="18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</c:v>
                </c:pt>
                <c:pt idx="6">
                  <c:v>Decelerate Descend</c:v>
                </c:pt>
                <c:pt idx="7">
                  <c:v>Arrive Procedures</c:v>
                </c:pt>
                <c:pt idx="8">
                  <c:v>Transition Descend</c:v>
                </c:pt>
                <c:pt idx="9">
                  <c:v>Hover Descend</c:v>
                </c:pt>
                <c:pt idx="10">
                  <c:v>Arrive Taxi</c:v>
                </c:pt>
                <c:pt idx="11">
                  <c:v>Reserve Hover Climb</c:v>
                </c:pt>
                <c:pt idx="12">
                  <c:v>Reserve Transition Climb</c:v>
                </c:pt>
                <c:pt idx="13">
                  <c:v>Reserve Accelerate Climb</c:v>
                </c:pt>
                <c:pt idx="14">
                  <c:v>Reserve Cruise</c:v>
                </c:pt>
                <c:pt idx="15">
                  <c:v>Reserve Decelerate Descend</c:v>
                </c:pt>
                <c:pt idx="16">
                  <c:v>Reserve Transition Descend</c:v>
                </c:pt>
                <c:pt idx="17">
                  <c:v>Reserve Hover Descend</c:v>
                </c:pt>
              </c:strCache>
            </c:strRef>
          </c:cat>
          <c:val>
            <c:numRef>
              <c:f>'3000 ft'!$C$6:$T$6</c:f>
              <c:numCache>
                <c:formatCode>General</c:formatCode>
                <c:ptCount val="18"/>
                <c:pt idx="0">
                  <c:v>0.00414</c:v>
                </c:pt>
                <c:pt idx="1">
                  <c:v>0.359594</c:v>
                </c:pt>
                <c:pt idx="2">
                  <c:v>2.837276</c:v>
                </c:pt>
                <c:pt idx="3">
                  <c:v>0.552865</c:v>
                </c:pt>
                <c:pt idx="4">
                  <c:v>5.71025</c:v>
                </c:pt>
                <c:pt idx="5">
                  <c:v>57.342883</c:v>
                </c:pt>
                <c:pt idx="6">
                  <c:v>3.223824</c:v>
                </c:pt>
                <c:pt idx="7">
                  <c:v>0.552865</c:v>
                </c:pt>
                <c:pt idx="8">
                  <c:v>0.091789</c:v>
                </c:pt>
                <c:pt idx="9">
                  <c:v>0.329842</c:v>
                </c:pt>
                <c:pt idx="10">
                  <c:v>0.00414</c:v>
                </c:pt>
                <c:pt idx="11">
                  <c:v>0.359594</c:v>
                </c:pt>
                <c:pt idx="12">
                  <c:v>2.837276</c:v>
                </c:pt>
                <c:pt idx="13">
                  <c:v>1.962046</c:v>
                </c:pt>
                <c:pt idx="14">
                  <c:v>5.932022</c:v>
                </c:pt>
                <c:pt idx="15">
                  <c:v>0.102141</c:v>
                </c:pt>
                <c:pt idx="16">
                  <c:v>0.097409</c:v>
                </c:pt>
                <c:pt idx="17">
                  <c:v>0.329842</c:v>
                </c:pt>
              </c:numCache>
            </c:numRef>
          </c:val>
        </c:ser>
        <c:ser>
          <c:idx val="1"/>
          <c:order val="1"/>
          <c:tx>
            <c:strRef>
              <c:f>'3000 ft'!$B$7</c:f>
              <c:strCache>
                <c:ptCount val="1"/>
                <c:pt idx="0">
                  <c:v>Joby S4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'3000 ft'!$C$1:$T$1</c:f>
              <c:strCache>
                <c:ptCount val="18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</c:v>
                </c:pt>
                <c:pt idx="6">
                  <c:v>Decelerate Descend</c:v>
                </c:pt>
                <c:pt idx="7">
                  <c:v>Arrive Procedures</c:v>
                </c:pt>
                <c:pt idx="8">
                  <c:v>Transition Descend</c:v>
                </c:pt>
                <c:pt idx="9">
                  <c:v>Hover Descend</c:v>
                </c:pt>
                <c:pt idx="10">
                  <c:v>Arrive Taxi</c:v>
                </c:pt>
                <c:pt idx="11">
                  <c:v>Reserve Hover Climb</c:v>
                </c:pt>
                <c:pt idx="12">
                  <c:v>Reserve Transition Climb</c:v>
                </c:pt>
                <c:pt idx="13">
                  <c:v>Reserve Accelerate Climb</c:v>
                </c:pt>
                <c:pt idx="14">
                  <c:v>Reserve Cruise</c:v>
                </c:pt>
                <c:pt idx="15">
                  <c:v>Reserve Decelerate Descend</c:v>
                </c:pt>
                <c:pt idx="16">
                  <c:v>Reserve Transition Descend</c:v>
                </c:pt>
                <c:pt idx="17">
                  <c:v>Reserve Hover Descend</c:v>
                </c:pt>
              </c:strCache>
            </c:strRef>
          </c:cat>
          <c:val>
            <c:numRef>
              <c:f>'3000 ft'!$C$7:$T$7</c:f>
              <c:numCache>
                <c:formatCode>General</c:formatCode>
                <c:ptCount val="18"/>
                <c:pt idx="0">
                  <c:v>0.003135</c:v>
                </c:pt>
                <c:pt idx="1">
                  <c:v>0.272272</c:v>
                </c:pt>
                <c:pt idx="2">
                  <c:v>2.571291</c:v>
                </c:pt>
                <c:pt idx="3">
                  <c:v>0.531767</c:v>
                </c:pt>
                <c:pt idx="4">
                  <c:v>4.937473</c:v>
                </c:pt>
                <c:pt idx="5">
                  <c:v>36.727049</c:v>
                </c:pt>
                <c:pt idx="6">
                  <c:v>3.054837</c:v>
                </c:pt>
                <c:pt idx="7">
                  <c:v>0.531767</c:v>
                </c:pt>
                <c:pt idx="8">
                  <c:v>0.492503</c:v>
                </c:pt>
                <c:pt idx="9">
                  <c:v>0.249745</c:v>
                </c:pt>
                <c:pt idx="10">
                  <c:v>0.003135</c:v>
                </c:pt>
                <c:pt idx="11">
                  <c:v>0.272272</c:v>
                </c:pt>
                <c:pt idx="12">
                  <c:v>2.571291</c:v>
                </c:pt>
                <c:pt idx="13">
                  <c:v>1.587904</c:v>
                </c:pt>
                <c:pt idx="14">
                  <c:v>3.79935</c:v>
                </c:pt>
                <c:pt idx="15">
                  <c:v>0.055852</c:v>
                </c:pt>
                <c:pt idx="16">
                  <c:v>0.496759</c:v>
                </c:pt>
                <c:pt idx="17">
                  <c:v>0.249745</c:v>
                </c:pt>
              </c:numCache>
            </c:numRef>
          </c:val>
        </c:ser>
        <c:ser>
          <c:idx val="2"/>
          <c:order val="2"/>
          <c:tx>
            <c:strRef>
              <c:f>'3000 ft'!$B$8</c:f>
              <c:strCache>
                <c:ptCount val="1"/>
                <c:pt idx="0">
                  <c:v>Supernal S-A2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'3000 ft'!$C$1:$T$1</c:f>
              <c:strCache>
                <c:ptCount val="18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</c:v>
                </c:pt>
                <c:pt idx="6">
                  <c:v>Decelerate Descend</c:v>
                </c:pt>
                <c:pt idx="7">
                  <c:v>Arrive Procedures</c:v>
                </c:pt>
                <c:pt idx="8">
                  <c:v>Transition Descend</c:v>
                </c:pt>
                <c:pt idx="9">
                  <c:v>Hover Descend</c:v>
                </c:pt>
                <c:pt idx="10">
                  <c:v>Arrive Taxi</c:v>
                </c:pt>
                <c:pt idx="11">
                  <c:v>Reserve Hover Climb</c:v>
                </c:pt>
                <c:pt idx="12">
                  <c:v>Reserve Transition Climb</c:v>
                </c:pt>
                <c:pt idx="13">
                  <c:v>Reserve Accelerate Climb</c:v>
                </c:pt>
                <c:pt idx="14">
                  <c:v>Reserve Cruise</c:v>
                </c:pt>
                <c:pt idx="15">
                  <c:v>Reserve Decelerate Descend</c:v>
                </c:pt>
                <c:pt idx="16">
                  <c:v>Reserve Transition Descend</c:v>
                </c:pt>
                <c:pt idx="17">
                  <c:v>Reserve Hover Descend</c:v>
                </c:pt>
              </c:strCache>
            </c:strRef>
          </c:cat>
          <c:val>
            <c:numRef>
              <c:f>'3000 ft'!$C$8:$T$8</c:f>
              <c:numCache>
                <c:formatCode>General</c:formatCode>
                <c:ptCount val="18"/>
                <c:pt idx="0">
                  <c:v>0.004173</c:v>
                </c:pt>
                <c:pt idx="1">
                  <c:v>0.362425</c:v>
                </c:pt>
                <c:pt idx="2">
                  <c:v>2.923309</c:v>
                </c:pt>
                <c:pt idx="3">
                  <c:v>0.606305</c:v>
                </c:pt>
                <c:pt idx="4">
                  <c:v>6.293784</c:v>
                </c:pt>
                <c:pt idx="5">
                  <c:v>57.357064</c:v>
                </c:pt>
                <c:pt idx="6">
                  <c:v>3.78778</c:v>
                </c:pt>
                <c:pt idx="7">
                  <c:v>0.606305</c:v>
                </c:pt>
                <c:pt idx="8">
                  <c:v>0.156204</c:v>
                </c:pt>
                <c:pt idx="9">
                  <c:v>0.332439</c:v>
                </c:pt>
                <c:pt idx="10">
                  <c:v>0.004173</c:v>
                </c:pt>
                <c:pt idx="11">
                  <c:v>0.362425</c:v>
                </c:pt>
                <c:pt idx="12">
                  <c:v>2.923309</c:v>
                </c:pt>
                <c:pt idx="13">
                  <c:v>2.067257</c:v>
                </c:pt>
                <c:pt idx="14">
                  <c:v>5.933489</c:v>
                </c:pt>
                <c:pt idx="15">
                  <c:v>0.084095</c:v>
                </c:pt>
                <c:pt idx="16">
                  <c:v>0.161869</c:v>
                </c:pt>
                <c:pt idx="17">
                  <c:v>0.332439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28526186"/>
        <c:axId val="39651681"/>
      </c:barChart>
      <c:catAx>
        <c:axId val="12852618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altLang="en-US" sz="1400"/>
                  <a:t>Mission Segment</a:t>
                </a:r>
                <a:endParaRPr lang="vi-VN" altLang="en-US" sz="1400"/>
              </a:p>
            </c:rich>
          </c:tx>
          <c:layout>
            <c:manualLayout>
              <c:xMode val="edge"/>
              <c:yMode val="edge"/>
              <c:x val="0.41184803605924"/>
              <c:y val="0.849354180829368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651681"/>
        <c:crosses val="autoZero"/>
        <c:auto val="1"/>
        <c:lblAlgn val="ctr"/>
        <c:lblOffset val="100"/>
        <c:noMultiLvlLbl val="0"/>
      </c:catAx>
      <c:valAx>
        <c:axId val="3965168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Energy (kW hr)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119124275595621"/>
              <c:y val="0.29288919102651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852618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303273601600808"/>
          <c:y val="0.914693683649157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d022dfe-ae49-4803-bf69-c648dbeee27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altLang="en-US" sz="1600"/>
              <a:t>Mission Segment Energy</a:t>
            </a:r>
            <a:endParaRPr lang="vi-VN" altLang="en-US" sz="16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altLang="en-US" sz="1600" b="0"/>
              <a:t>3000 ft - 60 mi</a:t>
            </a:r>
            <a:endParaRPr lang="vi-VN" altLang="en-US" sz="1600" b="0"/>
          </a:p>
        </c:rich>
      </c:tx>
      <c:layout>
        <c:manualLayout>
          <c:xMode val="edge"/>
          <c:yMode val="edge"/>
          <c:x val="0.349806825499034"/>
          <c:y val="0.019578518014955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'3000 ft'!$B$10</c:f>
              <c:strCache>
                <c:ptCount val="1"/>
                <c:pt idx="0">
                  <c:v>Archer Midnight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'3000 ft'!$C$1:$T$1</c:f>
              <c:strCache>
                <c:ptCount val="18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</c:v>
                </c:pt>
                <c:pt idx="6">
                  <c:v>Decelerate Descend</c:v>
                </c:pt>
                <c:pt idx="7">
                  <c:v>Arrive Procedures</c:v>
                </c:pt>
                <c:pt idx="8">
                  <c:v>Transition Descend</c:v>
                </c:pt>
                <c:pt idx="9">
                  <c:v>Hover Descend</c:v>
                </c:pt>
                <c:pt idx="10">
                  <c:v>Arrive Taxi</c:v>
                </c:pt>
                <c:pt idx="11">
                  <c:v>Reserve Hover Climb</c:v>
                </c:pt>
                <c:pt idx="12">
                  <c:v>Reserve Transition Climb</c:v>
                </c:pt>
                <c:pt idx="13">
                  <c:v>Reserve Accelerate Climb</c:v>
                </c:pt>
                <c:pt idx="14">
                  <c:v>Reserve Cruise</c:v>
                </c:pt>
                <c:pt idx="15">
                  <c:v>Reserve Decelerate Descend</c:v>
                </c:pt>
                <c:pt idx="16">
                  <c:v>Reserve Transition Descend</c:v>
                </c:pt>
                <c:pt idx="17">
                  <c:v>Reserve Hover Descend</c:v>
                </c:pt>
              </c:strCache>
            </c:strRef>
          </c:cat>
          <c:val>
            <c:numRef>
              <c:f>'3000 ft'!$C$10:$T$10</c:f>
              <c:numCache>
                <c:formatCode>General</c:formatCode>
                <c:ptCount val="18"/>
                <c:pt idx="0">
                  <c:v>0.00414</c:v>
                </c:pt>
                <c:pt idx="1">
                  <c:v>0.359594</c:v>
                </c:pt>
                <c:pt idx="2">
                  <c:v>2.837276</c:v>
                </c:pt>
                <c:pt idx="3">
                  <c:v>0.552865</c:v>
                </c:pt>
                <c:pt idx="4">
                  <c:v>5.71025</c:v>
                </c:pt>
                <c:pt idx="5">
                  <c:v>83.707427</c:v>
                </c:pt>
                <c:pt idx="6">
                  <c:v>3.223824</c:v>
                </c:pt>
                <c:pt idx="7">
                  <c:v>0.552865</c:v>
                </c:pt>
                <c:pt idx="8">
                  <c:v>0.091789</c:v>
                </c:pt>
                <c:pt idx="9">
                  <c:v>0.329842</c:v>
                </c:pt>
                <c:pt idx="10">
                  <c:v>0.00414</c:v>
                </c:pt>
                <c:pt idx="11">
                  <c:v>0.359594</c:v>
                </c:pt>
                <c:pt idx="12">
                  <c:v>2.837276</c:v>
                </c:pt>
                <c:pt idx="13">
                  <c:v>1.962046</c:v>
                </c:pt>
                <c:pt idx="14">
                  <c:v>5.932022</c:v>
                </c:pt>
                <c:pt idx="15">
                  <c:v>0.102141</c:v>
                </c:pt>
                <c:pt idx="16">
                  <c:v>0.097409</c:v>
                </c:pt>
                <c:pt idx="17">
                  <c:v>0.329842</c:v>
                </c:pt>
              </c:numCache>
            </c:numRef>
          </c:val>
        </c:ser>
        <c:ser>
          <c:idx val="1"/>
          <c:order val="1"/>
          <c:tx>
            <c:strRef>
              <c:f>'3000 ft'!$B$11</c:f>
              <c:strCache>
                <c:ptCount val="1"/>
                <c:pt idx="0">
                  <c:v>Joby S4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'3000 ft'!$C$1:$T$1</c:f>
              <c:strCache>
                <c:ptCount val="18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</c:v>
                </c:pt>
                <c:pt idx="6">
                  <c:v>Decelerate Descend</c:v>
                </c:pt>
                <c:pt idx="7">
                  <c:v>Arrive Procedures</c:v>
                </c:pt>
                <c:pt idx="8">
                  <c:v>Transition Descend</c:v>
                </c:pt>
                <c:pt idx="9">
                  <c:v>Hover Descend</c:v>
                </c:pt>
                <c:pt idx="10">
                  <c:v>Arrive Taxi</c:v>
                </c:pt>
                <c:pt idx="11">
                  <c:v>Reserve Hover Climb</c:v>
                </c:pt>
                <c:pt idx="12">
                  <c:v>Reserve Transition Climb</c:v>
                </c:pt>
                <c:pt idx="13">
                  <c:v>Reserve Accelerate Climb</c:v>
                </c:pt>
                <c:pt idx="14">
                  <c:v>Reserve Cruise</c:v>
                </c:pt>
                <c:pt idx="15">
                  <c:v>Reserve Decelerate Descend</c:v>
                </c:pt>
                <c:pt idx="16">
                  <c:v>Reserve Transition Descend</c:v>
                </c:pt>
                <c:pt idx="17">
                  <c:v>Reserve Hover Descend</c:v>
                </c:pt>
              </c:strCache>
            </c:strRef>
          </c:cat>
          <c:val>
            <c:numRef>
              <c:f>'3000 ft'!$C$11:$T$11</c:f>
              <c:numCache>
                <c:formatCode>General</c:formatCode>
                <c:ptCount val="18"/>
                <c:pt idx="0">
                  <c:v>0.003135</c:v>
                </c:pt>
                <c:pt idx="1">
                  <c:v>0.272272</c:v>
                </c:pt>
                <c:pt idx="2">
                  <c:v>2.571291</c:v>
                </c:pt>
                <c:pt idx="3">
                  <c:v>0.531767</c:v>
                </c:pt>
                <c:pt idx="4">
                  <c:v>4.937473</c:v>
                </c:pt>
                <c:pt idx="5">
                  <c:v>53.613048</c:v>
                </c:pt>
                <c:pt idx="6">
                  <c:v>3.054837</c:v>
                </c:pt>
                <c:pt idx="7">
                  <c:v>0.531767</c:v>
                </c:pt>
                <c:pt idx="8">
                  <c:v>0.492503</c:v>
                </c:pt>
                <c:pt idx="9">
                  <c:v>0.249745</c:v>
                </c:pt>
                <c:pt idx="10">
                  <c:v>0.003135</c:v>
                </c:pt>
                <c:pt idx="11">
                  <c:v>0.272272</c:v>
                </c:pt>
                <c:pt idx="12">
                  <c:v>2.571291</c:v>
                </c:pt>
                <c:pt idx="13">
                  <c:v>1.587904</c:v>
                </c:pt>
                <c:pt idx="14">
                  <c:v>3.79935</c:v>
                </c:pt>
                <c:pt idx="15">
                  <c:v>0.055852</c:v>
                </c:pt>
                <c:pt idx="16">
                  <c:v>0.496759</c:v>
                </c:pt>
                <c:pt idx="17">
                  <c:v>0.249745</c:v>
                </c:pt>
              </c:numCache>
            </c:numRef>
          </c:val>
        </c:ser>
        <c:ser>
          <c:idx val="2"/>
          <c:order val="2"/>
          <c:tx>
            <c:strRef>
              <c:f>'3000 ft'!$B$12</c:f>
              <c:strCache>
                <c:ptCount val="1"/>
                <c:pt idx="0">
                  <c:v>Supernal S-A2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'3000 ft'!$C$1:$T$1</c:f>
              <c:strCache>
                <c:ptCount val="18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</c:v>
                </c:pt>
                <c:pt idx="6">
                  <c:v>Decelerate Descend</c:v>
                </c:pt>
                <c:pt idx="7">
                  <c:v>Arrive Procedures</c:v>
                </c:pt>
                <c:pt idx="8">
                  <c:v>Transition Descend</c:v>
                </c:pt>
                <c:pt idx="9">
                  <c:v>Hover Descend</c:v>
                </c:pt>
                <c:pt idx="10">
                  <c:v>Arrive Taxi</c:v>
                </c:pt>
                <c:pt idx="11">
                  <c:v>Reserve Hover Climb</c:v>
                </c:pt>
                <c:pt idx="12">
                  <c:v>Reserve Transition Climb</c:v>
                </c:pt>
                <c:pt idx="13">
                  <c:v>Reserve Accelerate Climb</c:v>
                </c:pt>
                <c:pt idx="14">
                  <c:v>Reserve Cruise</c:v>
                </c:pt>
                <c:pt idx="15">
                  <c:v>Reserve Decelerate Descend</c:v>
                </c:pt>
                <c:pt idx="16">
                  <c:v>Reserve Transition Descend</c:v>
                </c:pt>
                <c:pt idx="17">
                  <c:v>Reserve Hover Descend</c:v>
                </c:pt>
              </c:strCache>
            </c:strRef>
          </c:cat>
          <c:val>
            <c:numRef>
              <c:f>'3000 ft'!$C$12:$T$12</c:f>
              <c:numCache>
                <c:formatCode>General</c:formatCode>
                <c:ptCount val="18"/>
                <c:pt idx="0">
                  <c:v>0.004173</c:v>
                </c:pt>
                <c:pt idx="1">
                  <c:v>0.362425</c:v>
                </c:pt>
                <c:pt idx="2">
                  <c:v>2.923309</c:v>
                </c:pt>
                <c:pt idx="3">
                  <c:v>0.606305</c:v>
                </c:pt>
                <c:pt idx="4">
                  <c:v>6.293784</c:v>
                </c:pt>
                <c:pt idx="5">
                  <c:v>83.728128</c:v>
                </c:pt>
                <c:pt idx="6">
                  <c:v>3.78778</c:v>
                </c:pt>
                <c:pt idx="7">
                  <c:v>0.606305</c:v>
                </c:pt>
                <c:pt idx="8">
                  <c:v>0.156204</c:v>
                </c:pt>
                <c:pt idx="9">
                  <c:v>0.332439</c:v>
                </c:pt>
                <c:pt idx="10">
                  <c:v>0.004173</c:v>
                </c:pt>
                <c:pt idx="11">
                  <c:v>0.362425</c:v>
                </c:pt>
                <c:pt idx="12">
                  <c:v>2.923309</c:v>
                </c:pt>
                <c:pt idx="13">
                  <c:v>2.067257</c:v>
                </c:pt>
                <c:pt idx="14">
                  <c:v>5.933489</c:v>
                </c:pt>
                <c:pt idx="15">
                  <c:v>0.084095</c:v>
                </c:pt>
                <c:pt idx="16">
                  <c:v>0.161869</c:v>
                </c:pt>
                <c:pt idx="17">
                  <c:v>0.332439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28526186"/>
        <c:axId val="39651681"/>
      </c:barChart>
      <c:catAx>
        <c:axId val="12852618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altLang="en-US" sz="1400"/>
                  <a:t>Mission Segment</a:t>
                </a:r>
                <a:endParaRPr lang="vi-VN" altLang="en-US" sz="1400"/>
              </a:p>
            </c:rich>
          </c:tx>
          <c:layout>
            <c:manualLayout>
              <c:xMode val="edge"/>
              <c:yMode val="edge"/>
              <c:x val="0.41184803605924"/>
              <c:y val="0.849354180829368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651681"/>
        <c:crosses val="autoZero"/>
        <c:auto val="1"/>
        <c:lblAlgn val="ctr"/>
        <c:lblOffset val="100"/>
        <c:noMultiLvlLbl val="0"/>
      </c:catAx>
      <c:valAx>
        <c:axId val="3965168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Energy (kW hr)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119124275595621"/>
              <c:y val="0.29288919102651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852618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314592723760464"/>
          <c:y val="0.914643541936146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d022dfe-ae49-4803-bf69-c648dbeee27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Mission Segment Energy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altLang="en-US" sz="1600" b="0"/>
              <a:t>3000 ft</a:t>
            </a:r>
            <a:endParaRPr lang="vi-VN" altLang="en-US" sz="1600" b="0"/>
          </a:p>
        </c:rich>
      </c:tx>
      <c:layout>
        <c:manualLayout>
          <c:xMode val="edge"/>
          <c:yMode val="edge"/>
          <c:x val="0.379917933864349"/>
          <c:y val="0.018585430484332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'3000 ft'!$U$40</c:f>
              <c:strCache>
                <c:ptCount val="1"/>
                <c:pt idx="0">
                  <c:v>Archer Midnight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'3000 ft'!$T$41:$T$60</c:f>
              <c:strCache>
                <c:ptCount val="20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 (30 mi)</c:v>
                </c:pt>
                <c:pt idx="6">
                  <c:v>Cruise (45 mi)</c:v>
                </c:pt>
                <c:pt idx="7">
                  <c:v>Cruise (60 mi)</c:v>
                </c:pt>
                <c:pt idx="8">
                  <c:v>Decelerate Descend</c:v>
                </c:pt>
                <c:pt idx="9">
                  <c:v>Arrive Procedures</c:v>
                </c:pt>
                <c:pt idx="10">
                  <c:v>Transition Descend</c:v>
                </c:pt>
                <c:pt idx="11">
                  <c:v>Hover Descend</c:v>
                </c:pt>
                <c:pt idx="12">
                  <c:v>Arrive Taxi</c:v>
                </c:pt>
                <c:pt idx="13">
                  <c:v>Reserve Hover Climb</c:v>
                </c:pt>
                <c:pt idx="14">
                  <c:v>Reserve Transition Climb</c:v>
                </c:pt>
                <c:pt idx="15">
                  <c:v>Reserve Accelerate Climb</c:v>
                </c:pt>
                <c:pt idx="16">
                  <c:v>Reserve Cruise</c:v>
                </c:pt>
                <c:pt idx="17">
                  <c:v>Reserve Decelerate Descend</c:v>
                </c:pt>
                <c:pt idx="18">
                  <c:v>Reserve Transition Descend</c:v>
                </c:pt>
                <c:pt idx="19">
                  <c:v>Reserve Hover Descend</c:v>
                </c:pt>
              </c:strCache>
            </c:strRef>
          </c:cat>
          <c:val>
            <c:numRef>
              <c:f>'3000 ft'!$U$41:$U$60</c:f>
              <c:numCache>
                <c:formatCode>General</c:formatCode>
                <c:ptCount val="20"/>
                <c:pt idx="0">
                  <c:v>0.00414</c:v>
                </c:pt>
                <c:pt idx="1">
                  <c:v>0.359594</c:v>
                </c:pt>
                <c:pt idx="2">
                  <c:v>2.837276</c:v>
                </c:pt>
                <c:pt idx="3">
                  <c:v>0.552865</c:v>
                </c:pt>
                <c:pt idx="4">
                  <c:v>5.71025</c:v>
                </c:pt>
                <c:pt idx="5">
                  <c:v>30.978339</c:v>
                </c:pt>
                <c:pt idx="6">
                  <c:v>57.342883</c:v>
                </c:pt>
                <c:pt idx="7">
                  <c:v>83.707427</c:v>
                </c:pt>
                <c:pt idx="8">
                  <c:v>3.223824</c:v>
                </c:pt>
                <c:pt idx="9">
                  <c:v>0.552865</c:v>
                </c:pt>
                <c:pt idx="10">
                  <c:v>0.091789</c:v>
                </c:pt>
                <c:pt idx="11">
                  <c:v>0.329842</c:v>
                </c:pt>
                <c:pt idx="12">
                  <c:v>0.00414</c:v>
                </c:pt>
                <c:pt idx="13">
                  <c:v>0.359594</c:v>
                </c:pt>
                <c:pt idx="14">
                  <c:v>2.837276</c:v>
                </c:pt>
                <c:pt idx="15">
                  <c:v>1.962046</c:v>
                </c:pt>
                <c:pt idx="16">
                  <c:v>5.932022</c:v>
                </c:pt>
                <c:pt idx="17">
                  <c:v>0.102141</c:v>
                </c:pt>
                <c:pt idx="18">
                  <c:v>0.097409</c:v>
                </c:pt>
                <c:pt idx="19">
                  <c:v>0.329842</c:v>
                </c:pt>
              </c:numCache>
            </c:numRef>
          </c:val>
        </c:ser>
        <c:ser>
          <c:idx val="1"/>
          <c:order val="1"/>
          <c:tx>
            <c:strRef>
              <c:f>'3000 ft'!$V$40</c:f>
              <c:strCache>
                <c:ptCount val="1"/>
                <c:pt idx="0">
                  <c:v>Joby S4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'3000 ft'!$T$41:$T$60</c:f>
              <c:strCache>
                <c:ptCount val="20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 (30 mi)</c:v>
                </c:pt>
                <c:pt idx="6">
                  <c:v>Cruise (45 mi)</c:v>
                </c:pt>
                <c:pt idx="7">
                  <c:v>Cruise (60 mi)</c:v>
                </c:pt>
                <c:pt idx="8">
                  <c:v>Decelerate Descend</c:v>
                </c:pt>
                <c:pt idx="9">
                  <c:v>Arrive Procedures</c:v>
                </c:pt>
                <c:pt idx="10">
                  <c:v>Transition Descend</c:v>
                </c:pt>
                <c:pt idx="11">
                  <c:v>Hover Descend</c:v>
                </c:pt>
                <c:pt idx="12">
                  <c:v>Arrive Taxi</c:v>
                </c:pt>
                <c:pt idx="13">
                  <c:v>Reserve Hover Climb</c:v>
                </c:pt>
                <c:pt idx="14">
                  <c:v>Reserve Transition Climb</c:v>
                </c:pt>
                <c:pt idx="15">
                  <c:v>Reserve Accelerate Climb</c:v>
                </c:pt>
                <c:pt idx="16">
                  <c:v>Reserve Cruise</c:v>
                </c:pt>
                <c:pt idx="17">
                  <c:v>Reserve Decelerate Descend</c:v>
                </c:pt>
                <c:pt idx="18">
                  <c:v>Reserve Transition Descend</c:v>
                </c:pt>
                <c:pt idx="19">
                  <c:v>Reserve Hover Descend</c:v>
                </c:pt>
              </c:strCache>
            </c:strRef>
          </c:cat>
          <c:val>
            <c:numRef>
              <c:f>'3000 ft'!$V$41:$V$60</c:f>
              <c:numCache>
                <c:formatCode>General</c:formatCode>
                <c:ptCount val="20"/>
                <c:pt idx="0">
                  <c:v>0.003135</c:v>
                </c:pt>
                <c:pt idx="1">
                  <c:v>0.272272</c:v>
                </c:pt>
                <c:pt idx="2">
                  <c:v>2.571291</c:v>
                </c:pt>
                <c:pt idx="3">
                  <c:v>0.531767</c:v>
                </c:pt>
                <c:pt idx="4">
                  <c:v>4.937473</c:v>
                </c:pt>
                <c:pt idx="5">
                  <c:v>19.841049</c:v>
                </c:pt>
                <c:pt idx="6">
                  <c:v>36.727049</c:v>
                </c:pt>
                <c:pt idx="7">
                  <c:v>53.613048</c:v>
                </c:pt>
                <c:pt idx="8">
                  <c:v>3.054837</c:v>
                </c:pt>
                <c:pt idx="9">
                  <c:v>0.531767</c:v>
                </c:pt>
                <c:pt idx="10">
                  <c:v>0.492503</c:v>
                </c:pt>
                <c:pt idx="11">
                  <c:v>0.249745</c:v>
                </c:pt>
                <c:pt idx="12">
                  <c:v>0.003135</c:v>
                </c:pt>
                <c:pt idx="13">
                  <c:v>0.272272</c:v>
                </c:pt>
                <c:pt idx="14">
                  <c:v>2.571291</c:v>
                </c:pt>
                <c:pt idx="15">
                  <c:v>1.587904</c:v>
                </c:pt>
                <c:pt idx="16">
                  <c:v>3.79935</c:v>
                </c:pt>
                <c:pt idx="17">
                  <c:v>0.055852</c:v>
                </c:pt>
                <c:pt idx="18">
                  <c:v>0.496759</c:v>
                </c:pt>
                <c:pt idx="19">
                  <c:v>0.249745</c:v>
                </c:pt>
              </c:numCache>
            </c:numRef>
          </c:val>
        </c:ser>
        <c:ser>
          <c:idx val="2"/>
          <c:order val="2"/>
          <c:tx>
            <c:strRef>
              <c:f>'3000 ft'!$W$40</c:f>
              <c:strCache>
                <c:ptCount val="1"/>
                <c:pt idx="0">
                  <c:v>Supernal S-A2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'3000 ft'!$T$41:$T$60</c:f>
              <c:strCache>
                <c:ptCount val="20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 (30 mi)</c:v>
                </c:pt>
                <c:pt idx="6">
                  <c:v>Cruise (45 mi)</c:v>
                </c:pt>
                <c:pt idx="7">
                  <c:v>Cruise (60 mi)</c:v>
                </c:pt>
                <c:pt idx="8">
                  <c:v>Decelerate Descend</c:v>
                </c:pt>
                <c:pt idx="9">
                  <c:v>Arrive Procedures</c:v>
                </c:pt>
                <c:pt idx="10">
                  <c:v>Transition Descend</c:v>
                </c:pt>
                <c:pt idx="11">
                  <c:v>Hover Descend</c:v>
                </c:pt>
                <c:pt idx="12">
                  <c:v>Arrive Taxi</c:v>
                </c:pt>
                <c:pt idx="13">
                  <c:v>Reserve Hover Climb</c:v>
                </c:pt>
                <c:pt idx="14">
                  <c:v>Reserve Transition Climb</c:v>
                </c:pt>
                <c:pt idx="15">
                  <c:v>Reserve Accelerate Climb</c:v>
                </c:pt>
                <c:pt idx="16">
                  <c:v>Reserve Cruise</c:v>
                </c:pt>
                <c:pt idx="17">
                  <c:v>Reserve Decelerate Descend</c:v>
                </c:pt>
                <c:pt idx="18">
                  <c:v>Reserve Transition Descend</c:v>
                </c:pt>
                <c:pt idx="19">
                  <c:v>Reserve Hover Descend</c:v>
                </c:pt>
              </c:strCache>
            </c:strRef>
          </c:cat>
          <c:val>
            <c:numRef>
              <c:f>'3000 ft'!$W$41:$W$60</c:f>
              <c:numCache>
                <c:formatCode>General</c:formatCode>
                <c:ptCount val="20"/>
                <c:pt idx="0">
                  <c:v>0.004173</c:v>
                </c:pt>
                <c:pt idx="1">
                  <c:v>0.362425</c:v>
                </c:pt>
                <c:pt idx="2">
                  <c:v>2.923309</c:v>
                </c:pt>
                <c:pt idx="3">
                  <c:v>0.606305</c:v>
                </c:pt>
                <c:pt idx="4">
                  <c:v>6.293784</c:v>
                </c:pt>
                <c:pt idx="5">
                  <c:v>30.986</c:v>
                </c:pt>
                <c:pt idx="6">
                  <c:v>57.357064</c:v>
                </c:pt>
                <c:pt idx="7">
                  <c:v>83.728128</c:v>
                </c:pt>
                <c:pt idx="8">
                  <c:v>3.78778</c:v>
                </c:pt>
                <c:pt idx="9">
                  <c:v>0.606305</c:v>
                </c:pt>
                <c:pt idx="10">
                  <c:v>0.156204</c:v>
                </c:pt>
                <c:pt idx="11">
                  <c:v>0.332439</c:v>
                </c:pt>
                <c:pt idx="12">
                  <c:v>0.004173</c:v>
                </c:pt>
                <c:pt idx="13">
                  <c:v>0.362425</c:v>
                </c:pt>
                <c:pt idx="14">
                  <c:v>2.923309</c:v>
                </c:pt>
                <c:pt idx="15">
                  <c:v>2.067257</c:v>
                </c:pt>
                <c:pt idx="16">
                  <c:v>5.933489</c:v>
                </c:pt>
                <c:pt idx="17">
                  <c:v>0.084095</c:v>
                </c:pt>
                <c:pt idx="18">
                  <c:v>0.161869</c:v>
                </c:pt>
                <c:pt idx="19">
                  <c:v>0.332439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19840387"/>
        <c:axId val="144084049"/>
      </c:barChart>
      <c:catAx>
        <c:axId val="71984038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600"/>
                  <a:t>Mission Segment</a:t>
                </a:r>
                <a:endParaRPr sz="1600"/>
              </a:p>
            </c:rich>
          </c:tx>
          <c:layout>
            <c:manualLayout>
              <c:xMode val="edge"/>
              <c:yMode val="edge"/>
              <c:x val="0.416758295665141"/>
              <c:y val="0.852335708630245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4084049"/>
        <c:crosses val="autoZero"/>
        <c:auto val="1"/>
        <c:lblAlgn val="ctr"/>
        <c:lblOffset val="100"/>
        <c:noMultiLvlLbl val="0"/>
      </c:catAx>
      <c:valAx>
        <c:axId val="144084049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Energy (kW hr)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159744408945687"/>
              <c:y val="0.31282323299297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98403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329763287830381"/>
          <c:y val="0.91552844450338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8a27dec-0d74-4f07-aead-3ff72fca0b4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Mission Segment Energy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 b="0"/>
              <a:t>1500 ft</a:t>
            </a:r>
            <a:endParaRPr sz="1800" b="0"/>
          </a:p>
        </c:rich>
      </c:tx>
      <c:layout>
        <c:manualLayout>
          <c:xMode val="edge"/>
          <c:yMode val="edge"/>
          <c:x val="0.379917933864349"/>
          <c:y val="0.018585430484332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64031907179115"/>
          <c:y val="0.173320615887723"/>
          <c:w val="0.907643219724438"/>
          <c:h val="0.3794794931189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'1500 ft'!$U$40</c:f>
              <c:strCache>
                <c:ptCount val="1"/>
                <c:pt idx="0">
                  <c:v>Archer Midnight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'1500 ft'!$T$41:$T$60</c:f>
              <c:strCache>
                <c:ptCount val="20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 (30 mi)</c:v>
                </c:pt>
                <c:pt idx="6">
                  <c:v>Cruise (45 mi)</c:v>
                </c:pt>
                <c:pt idx="7">
                  <c:v>Cruise (60 mi)</c:v>
                </c:pt>
                <c:pt idx="8">
                  <c:v>Decelerate Descend</c:v>
                </c:pt>
                <c:pt idx="9">
                  <c:v>Arrive Procedures</c:v>
                </c:pt>
                <c:pt idx="10">
                  <c:v>Transition Descend</c:v>
                </c:pt>
                <c:pt idx="11">
                  <c:v>Hover Descend</c:v>
                </c:pt>
                <c:pt idx="12">
                  <c:v>Arrive Taxi</c:v>
                </c:pt>
                <c:pt idx="13">
                  <c:v>Reserve Hover Climb</c:v>
                </c:pt>
                <c:pt idx="14">
                  <c:v>Reserve Transition Climb</c:v>
                </c:pt>
                <c:pt idx="15">
                  <c:v>Reserve Accelerate Climb</c:v>
                </c:pt>
                <c:pt idx="16">
                  <c:v>Reserve Cruise</c:v>
                </c:pt>
                <c:pt idx="17">
                  <c:v>Reserve Decelerate Descend</c:v>
                </c:pt>
                <c:pt idx="18">
                  <c:v>Reserve Transition Descend</c:v>
                </c:pt>
                <c:pt idx="19">
                  <c:v>Reserve Hover Descend</c:v>
                </c:pt>
              </c:strCache>
            </c:strRef>
          </c:cat>
          <c:val>
            <c:numRef>
              <c:f>'1500 ft'!$U$41:$U$60</c:f>
              <c:numCache>
                <c:formatCode>General</c:formatCode>
                <c:ptCount val="20"/>
                <c:pt idx="0">
                  <c:v>0.00414</c:v>
                </c:pt>
                <c:pt idx="1">
                  <c:v>0.187235</c:v>
                </c:pt>
                <c:pt idx="2">
                  <c:v>2.104751</c:v>
                </c:pt>
                <c:pt idx="3">
                  <c:v>0.55039</c:v>
                </c:pt>
                <c:pt idx="4">
                  <c:v>3.460097</c:v>
                </c:pt>
                <c:pt idx="5">
                  <c:v>41.341488</c:v>
                </c:pt>
                <c:pt idx="6">
                  <c:v>68.013416</c:v>
                </c:pt>
                <c:pt idx="7">
                  <c:v>94.685344</c:v>
                </c:pt>
                <c:pt idx="8">
                  <c:v>0.980656</c:v>
                </c:pt>
                <c:pt idx="9">
                  <c:v>0.55039</c:v>
                </c:pt>
                <c:pt idx="10">
                  <c:v>0.1567</c:v>
                </c:pt>
                <c:pt idx="11">
                  <c:v>0.157483</c:v>
                </c:pt>
                <c:pt idx="12">
                  <c:v>0.00414</c:v>
                </c:pt>
                <c:pt idx="13">
                  <c:v>0.187235</c:v>
                </c:pt>
                <c:pt idx="14">
                  <c:v>2.104751</c:v>
                </c:pt>
                <c:pt idx="15">
                  <c:v>1.585685</c:v>
                </c:pt>
                <c:pt idx="16">
                  <c:v>8.297933</c:v>
                </c:pt>
                <c:pt idx="17">
                  <c:v>0.180616</c:v>
                </c:pt>
                <c:pt idx="18">
                  <c:v>0.155519</c:v>
                </c:pt>
                <c:pt idx="19">
                  <c:v>0.157483</c:v>
                </c:pt>
              </c:numCache>
            </c:numRef>
          </c:val>
        </c:ser>
        <c:ser>
          <c:idx val="1"/>
          <c:order val="1"/>
          <c:tx>
            <c:strRef>
              <c:f>'1500 ft'!$V$40</c:f>
              <c:strCache>
                <c:ptCount val="1"/>
                <c:pt idx="0">
                  <c:v>Joby S4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'1500 ft'!$T$41:$T$60</c:f>
              <c:strCache>
                <c:ptCount val="20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 (30 mi)</c:v>
                </c:pt>
                <c:pt idx="6">
                  <c:v>Cruise (45 mi)</c:v>
                </c:pt>
                <c:pt idx="7">
                  <c:v>Cruise (60 mi)</c:v>
                </c:pt>
                <c:pt idx="8">
                  <c:v>Decelerate Descend</c:v>
                </c:pt>
                <c:pt idx="9">
                  <c:v>Arrive Procedures</c:v>
                </c:pt>
                <c:pt idx="10">
                  <c:v>Transition Descend</c:v>
                </c:pt>
                <c:pt idx="11">
                  <c:v>Hover Descend</c:v>
                </c:pt>
                <c:pt idx="12">
                  <c:v>Arrive Taxi</c:v>
                </c:pt>
                <c:pt idx="13">
                  <c:v>Reserve Hover Climb</c:v>
                </c:pt>
                <c:pt idx="14">
                  <c:v>Reserve Transition Climb</c:v>
                </c:pt>
                <c:pt idx="15">
                  <c:v>Reserve Accelerate Climb</c:v>
                </c:pt>
                <c:pt idx="16">
                  <c:v>Reserve Cruise</c:v>
                </c:pt>
                <c:pt idx="17">
                  <c:v>Reserve Decelerate Descend</c:v>
                </c:pt>
                <c:pt idx="18">
                  <c:v>Reserve Transition Descend</c:v>
                </c:pt>
                <c:pt idx="19">
                  <c:v>Reserve Hover Descend</c:v>
                </c:pt>
              </c:strCache>
            </c:strRef>
          </c:cat>
          <c:val>
            <c:numRef>
              <c:f>'1500 ft'!$V$41:$V$60</c:f>
              <c:numCache>
                <c:formatCode>General</c:formatCode>
                <c:ptCount val="20"/>
                <c:pt idx="0">
                  <c:v>0.003135</c:v>
                </c:pt>
                <c:pt idx="1">
                  <c:v>0.141768</c:v>
                </c:pt>
                <c:pt idx="2">
                  <c:v>1.805163</c:v>
                </c:pt>
                <c:pt idx="3">
                  <c:v>0.530053</c:v>
                </c:pt>
                <c:pt idx="4">
                  <c:v>2.927872</c:v>
                </c:pt>
                <c:pt idx="5">
                  <c:v>26.022308</c:v>
                </c:pt>
                <c:pt idx="6">
                  <c:v>42.810893</c:v>
                </c:pt>
                <c:pt idx="7">
                  <c:v>59.599479</c:v>
                </c:pt>
                <c:pt idx="8">
                  <c:v>1.050524</c:v>
                </c:pt>
                <c:pt idx="9">
                  <c:v>0.530053</c:v>
                </c:pt>
                <c:pt idx="10">
                  <c:v>0.074229</c:v>
                </c:pt>
                <c:pt idx="11">
                  <c:v>0.119241</c:v>
                </c:pt>
                <c:pt idx="12">
                  <c:v>0.003135</c:v>
                </c:pt>
                <c:pt idx="13">
                  <c:v>0.141768</c:v>
                </c:pt>
                <c:pt idx="14">
                  <c:v>1.805163</c:v>
                </c:pt>
                <c:pt idx="15">
                  <c:v>1.25196</c:v>
                </c:pt>
                <c:pt idx="16">
                  <c:v>5.223116</c:v>
                </c:pt>
                <c:pt idx="17">
                  <c:v>0.125976</c:v>
                </c:pt>
                <c:pt idx="18">
                  <c:v>0.073335</c:v>
                </c:pt>
                <c:pt idx="19">
                  <c:v>0.119241</c:v>
                </c:pt>
              </c:numCache>
            </c:numRef>
          </c:val>
        </c:ser>
        <c:ser>
          <c:idx val="2"/>
          <c:order val="2"/>
          <c:tx>
            <c:strRef>
              <c:f>'1500 ft'!$W$40</c:f>
              <c:strCache>
                <c:ptCount val="1"/>
                <c:pt idx="0">
                  <c:v>Supernal S-A2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'1500 ft'!$T$41:$T$60</c:f>
              <c:strCache>
                <c:ptCount val="20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 (30 mi)</c:v>
                </c:pt>
                <c:pt idx="6">
                  <c:v>Cruise (45 mi)</c:v>
                </c:pt>
                <c:pt idx="7">
                  <c:v>Cruise (60 mi)</c:v>
                </c:pt>
                <c:pt idx="8">
                  <c:v>Decelerate Descend</c:v>
                </c:pt>
                <c:pt idx="9">
                  <c:v>Arrive Procedures</c:v>
                </c:pt>
                <c:pt idx="10">
                  <c:v>Transition Descend</c:v>
                </c:pt>
                <c:pt idx="11">
                  <c:v>Hover Descend</c:v>
                </c:pt>
                <c:pt idx="12">
                  <c:v>Arrive Taxi</c:v>
                </c:pt>
                <c:pt idx="13">
                  <c:v>Reserve Hover Climb</c:v>
                </c:pt>
                <c:pt idx="14">
                  <c:v>Reserve Transition Climb</c:v>
                </c:pt>
                <c:pt idx="15">
                  <c:v>Reserve Accelerate Climb</c:v>
                </c:pt>
                <c:pt idx="16">
                  <c:v>Reserve Cruise</c:v>
                </c:pt>
                <c:pt idx="17">
                  <c:v>Reserve Decelerate Descend</c:v>
                </c:pt>
                <c:pt idx="18">
                  <c:v>Reserve Transition Descend</c:v>
                </c:pt>
                <c:pt idx="19">
                  <c:v>Reserve Hover Descend</c:v>
                </c:pt>
              </c:strCache>
            </c:strRef>
          </c:cat>
          <c:val>
            <c:numRef>
              <c:f>'1500 ft'!$W$41:$W$60</c:f>
              <c:numCache>
                <c:formatCode>General</c:formatCode>
                <c:ptCount val="20"/>
                <c:pt idx="0">
                  <c:v>0.004173</c:v>
                </c:pt>
                <c:pt idx="1">
                  <c:v>0.188709</c:v>
                </c:pt>
                <c:pt idx="2">
                  <c:v>2.153167</c:v>
                </c:pt>
                <c:pt idx="3">
                  <c:v>0.603786</c:v>
                </c:pt>
                <c:pt idx="4">
                  <c:v>3.756457</c:v>
                </c:pt>
                <c:pt idx="5">
                  <c:v>41.05615</c:v>
                </c:pt>
                <c:pt idx="6">
                  <c:v>67.543989</c:v>
                </c:pt>
                <c:pt idx="7">
                  <c:v>94.031828</c:v>
                </c:pt>
                <c:pt idx="8">
                  <c:v>1.257493</c:v>
                </c:pt>
                <c:pt idx="9">
                  <c:v>0.603786</c:v>
                </c:pt>
                <c:pt idx="10">
                  <c:v>0.151246</c:v>
                </c:pt>
                <c:pt idx="11">
                  <c:v>0.158723</c:v>
                </c:pt>
                <c:pt idx="12">
                  <c:v>0.004173</c:v>
                </c:pt>
                <c:pt idx="13">
                  <c:v>0.188709</c:v>
                </c:pt>
                <c:pt idx="14">
                  <c:v>2.153167</c:v>
                </c:pt>
                <c:pt idx="15">
                  <c:v>1.643024</c:v>
                </c:pt>
                <c:pt idx="16">
                  <c:v>8.240661</c:v>
                </c:pt>
                <c:pt idx="17">
                  <c:v>0.172619</c:v>
                </c:pt>
                <c:pt idx="18">
                  <c:v>0.150057</c:v>
                </c:pt>
                <c:pt idx="19">
                  <c:v>0.158723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19840387"/>
        <c:axId val="144084049"/>
      </c:barChart>
      <c:catAx>
        <c:axId val="71984038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600"/>
                  <a:t>Mission Segment</a:t>
                </a:r>
                <a:endParaRPr sz="1600"/>
              </a:p>
            </c:rich>
          </c:tx>
          <c:layout>
            <c:manualLayout>
              <c:xMode val="edge"/>
              <c:yMode val="edge"/>
              <c:x val="0.416758295665141"/>
              <c:y val="0.852335708630245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4084049"/>
        <c:crosses val="autoZero"/>
        <c:auto val="1"/>
        <c:lblAlgn val="ctr"/>
        <c:lblOffset val="100"/>
        <c:noMultiLvlLbl val="0"/>
      </c:catAx>
      <c:valAx>
        <c:axId val="144084049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Energy (kW hr)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159744408945687"/>
              <c:y val="0.31282323299297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98403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329763287830381"/>
          <c:y val="0.91552844450338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91ebc11-a6d5-44a7-a163-6ed4b9ec034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Mission Segment Energy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altLang="en-US" sz="1600" b="0"/>
              <a:t>3000 ft</a:t>
            </a:r>
            <a:endParaRPr lang="vi-VN" altLang="en-US" sz="1600" b="0"/>
          </a:p>
        </c:rich>
      </c:tx>
      <c:layout>
        <c:manualLayout>
          <c:xMode val="edge"/>
          <c:yMode val="edge"/>
          <c:x val="0.379917933864349"/>
          <c:y val="0.018585430484332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'3000 ft'!$U$40</c:f>
              <c:strCache>
                <c:ptCount val="1"/>
                <c:pt idx="0">
                  <c:v>Archer Midnight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'3000 ft'!$T$41:$T$60</c:f>
              <c:strCache>
                <c:ptCount val="20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 (30 mi)</c:v>
                </c:pt>
                <c:pt idx="6">
                  <c:v>Cruise (45 mi)</c:v>
                </c:pt>
                <c:pt idx="7">
                  <c:v>Cruise (60 mi)</c:v>
                </c:pt>
                <c:pt idx="8">
                  <c:v>Decelerate Descend</c:v>
                </c:pt>
                <c:pt idx="9">
                  <c:v>Arrive Procedures</c:v>
                </c:pt>
                <c:pt idx="10">
                  <c:v>Transition Descend</c:v>
                </c:pt>
                <c:pt idx="11">
                  <c:v>Hover Descend</c:v>
                </c:pt>
                <c:pt idx="12">
                  <c:v>Arrive Taxi</c:v>
                </c:pt>
                <c:pt idx="13">
                  <c:v>Reserve Hover Climb</c:v>
                </c:pt>
                <c:pt idx="14">
                  <c:v>Reserve Transition Climb</c:v>
                </c:pt>
                <c:pt idx="15">
                  <c:v>Reserve Accelerate Climb</c:v>
                </c:pt>
                <c:pt idx="16">
                  <c:v>Reserve Cruise</c:v>
                </c:pt>
                <c:pt idx="17">
                  <c:v>Reserve Decelerate Descend</c:v>
                </c:pt>
                <c:pt idx="18">
                  <c:v>Reserve Transition Descend</c:v>
                </c:pt>
                <c:pt idx="19">
                  <c:v>Reserve Hover Descend</c:v>
                </c:pt>
              </c:strCache>
            </c:strRef>
          </c:cat>
          <c:val>
            <c:numRef>
              <c:f>'3000 ft'!$U$41:$U$60</c:f>
              <c:numCache>
                <c:formatCode>General</c:formatCode>
                <c:ptCount val="20"/>
                <c:pt idx="0">
                  <c:v>0.00414</c:v>
                </c:pt>
                <c:pt idx="1">
                  <c:v>0.359594</c:v>
                </c:pt>
                <c:pt idx="2">
                  <c:v>2.837276</c:v>
                </c:pt>
                <c:pt idx="3">
                  <c:v>0.552865</c:v>
                </c:pt>
                <c:pt idx="4">
                  <c:v>5.71025</c:v>
                </c:pt>
                <c:pt idx="5">
                  <c:v>30.978339</c:v>
                </c:pt>
                <c:pt idx="6">
                  <c:v>57.342883</c:v>
                </c:pt>
                <c:pt idx="7">
                  <c:v>83.707427</c:v>
                </c:pt>
                <c:pt idx="8">
                  <c:v>3.223824</c:v>
                </c:pt>
                <c:pt idx="9">
                  <c:v>0.552865</c:v>
                </c:pt>
                <c:pt idx="10">
                  <c:v>0.091789</c:v>
                </c:pt>
                <c:pt idx="11">
                  <c:v>0.329842</c:v>
                </c:pt>
                <c:pt idx="12">
                  <c:v>0.00414</c:v>
                </c:pt>
                <c:pt idx="13">
                  <c:v>0.359594</c:v>
                </c:pt>
                <c:pt idx="14">
                  <c:v>2.837276</c:v>
                </c:pt>
                <c:pt idx="15">
                  <c:v>1.962046</c:v>
                </c:pt>
                <c:pt idx="16">
                  <c:v>5.932022</c:v>
                </c:pt>
                <c:pt idx="17">
                  <c:v>0.102141</c:v>
                </c:pt>
                <c:pt idx="18">
                  <c:v>0.097409</c:v>
                </c:pt>
                <c:pt idx="19">
                  <c:v>0.329842</c:v>
                </c:pt>
              </c:numCache>
            </c:numRef>
          </c:val>
        </c:ser>
        <c:ser>
          <c:idx val="1"/>
          <c:order val="1"/>
          <c:tx>
            <c:strRef>
              <c:f>'3000 ft'!$V$40</c:f>
              <c:strCache>
                <c:ptCount val="1"/>
                <c:pt idx="0">
                  <c:v>Joby S4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'3000 ft'!$T$41:$T$60</c:f>
              <c:strCache>
                <c:ptCount val="20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 (30 mi)</c:v>
                </c:pt>
                <c:pt idx="6">
                  <c:v>Cruise (45 mi)</c:v>
                </c:pt>
                <c:pt idx="7">
                  <c:v>Cruise (60 mi)</c:v>
                </c:pt>
                <c:pt idx="8">
                  <c:v>Decelerate Descend</c:v>
                </c:pt>
                <c:pt idx="9">
                  <c:v>Arrive Procedures</c:v>
                </c:pt>
                <c:pt idx="10">
                  <c:v>Transition Descend</c:v>
                </c:pt>
                <c:pt idx="11">
                  <c:v>Hover Descend</c:v>
                </c:pt>
                <c:pt idx="12">
                  <c:v>Arrive Taxi</c:v>
                </c:pt>
                <c:pt idx="13">
                  <c:v>Reserve Hover Climb</c:v>
                </c:pt>
                <c:pt idx="14">
                  <c:v>Reserve Transition Climb</c:v>
                </c:pt>
                <c:pt idx="15">
                  <c:v>Reserve Accelerate Climb</c:v>
                </c:pt>
                <c:pt idx="16">
                  <c:v>Reserve Cruise</c:v>
                </c:pt>
                <c:pt idx="17">
                  <c:v>Reserve Decelerate Descend</c:v>
                </c:pt>
                <c:pt idx="18">
                  <c:v>Reserve Transition Descend</c:v>
                </c:pt>
                <c:pt idx="19">
                  <c:v>Reserve Hover Descend</c:v>
                </c:pt>
              </c:strCache>
            </c:strRef>
          </c:cat>
          <c:val>
            <c:numRef>
              <c:f>'3000 ft'!$V$41:$V$60</c:f>
              <c:numCache>
                <c:formatCode>General</c:formatCode>
                <c:ptCount val="20"/>
                <c:pt idx="0">
                  <c:v>0.003135</c:v>
                </c:pt>
                <c:pt idx="1">
                  <c:v>0.272272</c:v>
                </c:pt>
                <c:pt idx="2">
                  <c:v>2.571291</c:v>
                </c:pt>
                <c:pt idx="3">
                  <c:v>0.531767</c:v>
                </c:pt>
                <c:pt idx="4">
                  <c:v>4.937473</c:v>
                </c:pt>
                <c:pt idx="5">
                  <c:v>19.841049</c:v>
                </c:pt>
                <c:pt idx="6">
                  <c:v>36.727049</c:v>
                </c:pt>
                <c:pt idx="7">
                  <c:v>53.613048</c:v>
                </c:pt>
                <c:pt idx="8">
                  <c:v>3.054837</c:v>
                </c:pt>
                <c:pt idx="9">
                  <c:v>0.531767</c:v>
                </c:pt>
                <c:pt idx="10">
                  <c:v>0.492503</c:v>
                </c:pt>
                <c:pt idx="11">
                  <c:v>0.249745</c:v>
                </c:pt>
                <c:pt idx="12">
                  <c:v>0.003135</c:v>
                </c:pt>
                <c:pt idx="13">
                  <c:v>0.272272</c:v>
                </c:pt>
                <c:pt idx="14">
                  <c:v>2.571291</c:v>
                </c:pt>
                <c:pt idx="15">
                  <c:v>1.587904</c:v>
                </c:pt>
                <c:pt idx="16">
                  <c:v>3.79935</c:v>
                </c:pt>
                <c:pt idx="17">
                  <c:v>0.055852</c:v>
                </c:pt>
                <c:pt idx="18">
                  <c:v>0.496759</c:v>
                </c:pt>
                <c:pt idx="19">
                  <c:v>0.249745</c:v>
                </c:pt>
              </c:numCache>
            </c:numRef>
          </c:val>
        </c:ser>
        <c:ser>
          <c:idx val="2"/>
          <c:order val="2"/>
          <c:tx>
            <c:strRef>
              <c:f>'3000 ft'!$W$40</c:f>
              <c:strCache>
                <c:ptCount val="1"/>
                <c:pt idx="0">
                  <c:v>Supernal S-A2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'3000 ft'!$T$41:$T$60</c:f>
              <c:strCache>
                <c:ptCount val="20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 (30 mi)</c:v>
                </c:pt>
                <c:pt idx="6">
                  <c:v>Cruise (45 mi)</c:v>
                </c:pt>
                <c:pt idx="7">
                  <c:v>Cruise (60 mi)</c:v>
                </c:pt>
                <c:pt idx="8">
                  <c:v>Decelerate Descend</c:v>
                </c:pt>
                <c:pt idx="9">
                  <c:v>Arrive Procedures</c:v>
                </c:pt>
                <c:pt idx="10">
                  <c:v>Transition Descend</c:v>
                </c:pt>
                <c:pt idx="11">
                  <c:v>Hover Descend</c:v>
                </c:pt>
                <c:pt idx="12">
                  <c:v>Arrive Taxi</c:v>
                </c:pt>
                <c:pt idx="13">
                  <c:v>Reserve Hover Climb</c:v>
                </c:pt>
                <c:pt idx="14">
                  <c:v>Reserve Transition Climb</c:v>
                </c:pt>
                <c:pt idx="15">
                  <c:v>Reserve Accelerate Climb</c:v>
                </c:pt>
                <c:pt idx="16">
                  <c:v>Reserve Cruise</c:v>
                </c:pt>
                <c:pt idx="17">
                  <c:v>Reserve Decelerate Descend</c:v>
                </c:pt>
                <c:pt idx="18">
                  <c:v>Reserve Transition Descend</c:v>
                </c:pt>
                <c:pt idx="19">
                  <c:v>Reserve Hover Descend</c:v>
                </c:pt>
              </c:strCache>
            </c:strRef>
          </c:cat>
          <c:val>
            <c:numRef>
              <c:f>'3000 ft'!$W$41:$W$60</c:f>
              <c:numCache>
                <c:formatCode>General</c:formatCode>
                <c:ptCount val="20"/>
                <c:pt idx="0">
                  <c:v>0.004173</c:v>
                </c:pt>
                <c:pt idx="1">
                  <c:v>0.362425</c:v>
                </c:pt>
                <c:pt idx="2">
                  <c:v>2.923309</c:v>
                </c:pt>
                <c:pt idx="3">
                  <c:v>0.606305</c:v>
                </c:pt>
                <c:pt idx="4">
                  <c:v>6.293784</c:v>
                </c:pt>
                <c:pt idx="5">
                  <c:v>30.986</c:v>
                </c:pt>
                <c:pt idx="6">
                  <c:v>57.357064</c:v>
                </c:pt>
                <c:pt idx="7">
                  <c:v>83.728128</c:v>
                </c:pt>
                <c:pt idx="8">
                  <c:v>3.78778</c:v>
                </c:pt>
                <c:pt idx="9">
                  <c:v>0.606305</c:v>
                </c:pt>
                <c:pt idx="10">
                  <c:v>0.156204</c:v>
                </c:pt>
                <c:pt idx="11">
                  <c:v>0.332439</c:v>
                </c:pt>
                <c:pt idx="12">
                  <c:v>0.004173</c:v>
                </c:pt>
                <c:pt idx="13">
                  <c:v>0.362425</c:v>
                </c:pt>
                <c:pt idx="14">
                  <c:v>2.923309</c:v>
                </c:pt>
                <c:pt idx="15">
                  <c:v>2.067257</c:v>
                </c:pt>
                <c:pt idx="16">
                  <c:v>5.933489</c:v>
                </c:pt>
                <c:pt idx="17">
                  <c:v>0.084095</c:v>
                </c:pt>
                <c:pt idx="18">
                  <c:v>0.161869</c:v>
                </c:pt>
                <c:pt idx="19">
                  <c:v>0.332439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19840387"/>
        <c:axId val="144084049"/>
      </c:barChart>
      <c:catAx>
        <c:axId val="71984038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600"/>
                  <a:t>Mission Segment</a:t>
                </a:r>
                <a:endParaRPr sz="1600"/>
              </a:p>
            </c:rich>
          </c:tx>
          <c:layout>
            <c:manualLayout>
              <c:xMode val="edge"/>
              <c:yMode val="edge"/>
              <c:x val="0.416758295665141"/>
              <c:y val="0.852335708630245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4084049"/>
        <c:crosses val="autoZero"/>
        <c:auto val="1"/>
        <c:lblAlgn val="ctr"/>
        <c:lblOffset val="100"/>
        <c:noMultiLvlLbl val="0"/>
      </c:catAx>
      <c:valAx>
        <c:axId val="144084049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Energy (kW hr)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159744408945687"/>
              <c:y val="0.31282323299297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98403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329763287830381"/>
          <c:y val="0.91552844450338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8a27dec-0d74-4f07-aead-3ff72fca0b4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8.xml"/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622300</xdr:colOff>
      <xdr:row>14</xdr:row>
      <xdr:rowOff>31115</xdr:rowOff>
    </xdr:from>
    <xdr:to>
      <xdr:col>10</xdr:col>
      <xdr:colOff>1158240</xdr:colOff>
      <xdr:row>39</xdr:row>
      <xdr:rowOff>129540</xdr:rowOff>
    </xdr:to>
    <xdr:graphicFrame>
      <xdr:nvGraphicFramePr>
        <xdr:cNvPr id="2" name="Chart 1"/>
        <xdr:cNvGraphicFramePr/>
      </xdr:nvGraphicFramePr>
      <xdr:xfrm>
        <a:off x="3037840" y="2591435"/>
        <a:ext cx="7889240" cy="4670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268605</xdr:colOff>
      <xdr:row>14</xdr:row>
      <xdr:rowOff>36195</xdr:rowOff>
    </xdr:from>
    <xdr:to>
      <xdr:col>17</xdr:col>
      <xdr:colOff>949325</xdr:colOff>
      <xdr:row>39</xdr:row>
      <xdr:rowOff>134620</xdr:rowOff>
    </xdr:to>
    <xdr:graphicFrame>
      <xdr:nvGraphicFramePr>
        <xdr:cNvPr id="4" name="Chart 3"/>
        <xdr:cNvGraphicFramePr/>
      </xdr:nvGraphicFramePr>
      <xdr:xfrm>
        <a:off x="11271885" y="2596515"/>
        <a:ext cx="7889240" cy="4670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639445</xdr:colOff>
      <xdr:row>41</xdr:row>
      <xdr:rowOff>152400</xdr:rowOff>
    </xdr:from>
    <xdr:to>
      <xdr:col>10</xdr:col>
      <xdr:colOff>1175385</xdr:colOff>
      <xdr:row>67</xdr:row>
      <xdr:rowOff>67945</xdr:rowOff>
    </xdr:to>
    <xdr:graphicFrame>
      <xdr:nvGraphicFramePr>
        <xdr:cNvPr id="5" name="Chart 4"/>
        <xdr:cNvGraphicFramePr/>
      </xdr:nvGraphicFramePr>
      <xdr:xfrm>
        <a:off x="3054985" y="7650480"/>
        <a:ext cx="7889240" cy="4670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186690</xdr:colOff>
      <xdr:row>41</xdr:row>
      <xdr:rowOff>163195</xdr:rowOff>
    </xdr:from>
    <xdr:to>
      <xdr:col>17</xdr:col>
      <xdr:colOff>1725295</xdr:colOff>
      <xdr:row>67</xdr:row>
      <xdr:rowOff>140335</xdr:rowOff>
    </xdr:to>
    <xdr:graphicFrame>
      <xdr:nvGraphicFramePr>
        <xdr:cNvPr id="6" name="Chart 5"/>
        <xdr:cNvGraphicFramePr/>
      </xdr:nvGraphicFramePr>
      <xdr:xfrm>
        <a:off x="11189970" y="7661275"/>
        <a:ext cx="8747125" cy="47320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622300</xdr:colOff>
      <xdr:row>14</xdr:row>
      <xdr:rowOff>31115</xdr:rowOff>
    </xdr:from>
    <xdr:to>
      <xdr:col>10</xdr:col>
      <xdr:colOff>1158240</xdr:colOff>
      <xdr:row>39</xdr:row>
      <xdr:rowOff>129540</xdr:rowOff>
    </xdr:to>
    <xdr:graphicFrame>
      <xdr:nvGraphicFramePr>
        <xdr:cNvPr id="2" name="Chart 1"/>
        <xdr:cNvGraphicFramePr/>
      </xdr:nvGraphicFramePr>
      <xdr:xfrm>
        <a:off x="3037840" y="2591435"/>
        <a:ext cx="7889240" cy="4670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268605</xdr:colOff>
      <xdr:row>14</xdr:row>
      <xdr:rowOff>36195</xdr:rowOff>
    </xdr:from>
    <xdr:to>
      <xdr:col>17</xdr:col>
      <xdr:colOff>949325</xdr:colOff>
      <xdr:row>39</xdr:row>
      <xdr:rowOff>134620</xdr:rowOff>
    </xdr:to>
    <xdr:graphicFrame>
      <xdr:nvGraphicFramePr>
        <xdr:cNvPr id="3" name="Chart 2"/>
        <xdr:cNvGraphicFramePr/>
      </xdr:nvGraphicFramePr>
      <xdr:xfrm>
        <a:off x="11271885" y="2596515"/>
        <a:ext cx="7889240" cy="4670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639445</xdr:colOff>
      <xdr:row>41</xdr:row>
      <xdr:rowOff>152400</xdr:rowOff>
    </xdr:from>
    <xdr:to>
      <xdr:col>10</xdr:col>
      <xdr:colOff>1175385</xdr:colOff>
      <xdr:row>67</xdr:row>
      <xdr:rowOff>67945</xdr:rowOff>
    </xdr:to>
    <xdr:graphicFrame>
      <xdr:nvGraphicFramePr>
        <xdr:cNvPr id="4" name="Chart 3"/>
        <xdr:cNvGraphicFramePr/>
      </xdr:nvGraphicFramePr>
      <xdr:xfrm>
        <a:off x="3054985" y="7650480"/>
        <a:ext cx="7889240" cy="4670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186690</xdr:colOff>
      <xdr:row>41</xdr:row>
      <xdr:rowOff>163195</xdr:rowOff>
    </xdr:from>
    <xdr:to>
      <xdr:col>17</xdr:col>
      <xdr:colOff>1725295</xdr:colOff>
      <xdr:row>67</xdr:row>
      <xdr:rowOff>140335</xdr:rowOff>
    </xdr:to>
    <xdr:graphicFrame>
      <xdr:nvGraphicFramePr>
        <xdr:cNvPr id="5" name="Chart 4"/>
        <xdr:cNvGraphicFramePr/>
      </xdr:nvGraphicFramePr>
      <xdr:xfrm>
        <a:off x="11189970" y="7661275"/>
        <a:ext cx="8747125" cy="47320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118110</xdr:colOff>
      <xdr:row>14</xdr:row>
      <xdr:rowOff>33020</xdr:rowOff>
    </xdr:from>
    <xdr:to>
      <xdr:col>10</xdr:col>
      <xdr:colOff>233680</xdr:colOff>
      <xdr:row>39</xdr:row>
      <xdr:rowOff>139065</xdr:rowOff>
    </xdr:to>
    <xdr:graphicFrame>
      <xdr:nvGraphicFramePr>
        <xdr:cNvPr id="2" name="Chart 1"/>
        <xdr:cNvGraphicFramePr/>
      </xdr:nvGraphicFramePr>
      <xdr:xfrm>
        <a:off x="118110" y="2593340"/>
        <a:ext cx="8747125" cy="4678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453390</xdr:colOff>
      <xdr:row>14</xdr:row>
      <xdr:rowOff>29845</xdr:rowOff>
    </xdr:from>
    <xdr:to>
      <xdr:col>25</xdr:col>
      <xdr:colOff>56515</xdr:colOff>
      <xdr:row>40</xdr:row>
      <xdr:rowOff>6985</xdr:rowOff>
    </xdr:to>
    <xdr:graphicFrame>
      <xdr:nvGraphicFramePr>
        <xdr:cNvPr id="3" name="Chart 2"/>
        <xdr:cNvGraphicFramePr/>
      </xdr:nvGraphicFramePr>
      <xdr:xfrm>
        <a:off x="9084945" y="2590165"/>
        <a:ext cx="8747125" cy="47320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0"/>
  <sheetViews>
    <sheetView zoomScale="55" zoomScaleNormal="55" topLeftCell="B1" workbookViewId="0">
      <selection activeCell="T15" sqref="T15"/>
    </sheetView>
  </sheetViews>
  <sheetFormatPr defaultColWidth="9" defaultRowHeight="14.4"/>
  <cols>
    <col min="1" max="1" width="9" style="2"/>
    <col min="2" max="2" width="15.1111111111111" style="2" customWidth="1"/>
    <col min="3" max="3" width="11.1111111111111" style="2" customWidth="1"/>
    <col min="4" max="4" width="11.7777777777778" style="2" customWidth="1"/>
    <col min="5" max="5" width="15.4444444444444" style="2" customWidth="1"/>
    <col min="6" max="6" width="17.6666666666667" style="2" customWidth="1"/>
    <col min="7" max="7" width="16" style="2" customWidth="1"/>
    <col min="8" max="8" width="10.6666666666667" style="2" customWidth="1"/>
    <col min="9" max="9" width="18.8888888888889" style="2" customWidth="1"/>
    <col min="10" max="10" width="16.7777777777778" style="2" customWidth="1"/>
    <col min="11" max="11" width="18" style="2" customWidth="1"/>
    <col min="12" max="12" width="14.4444444444444" style="2" customWidth="1"/>
    <col min="13" max="13" width="10.2222222222222" style="2" customWidth="1"/>
    <col min="14" max="14" width="19.5555555555556" style="2" customWidth="1"/>
    <col min="15" max="15" width="23.1111111111111" style="2" customWidth="1"/>
    <col min="16" max="16" width="23.7777777777778" style="2" customWidth="1"/>
    <col min="17" max="17" width="14" style="2" customWidth="1"/>
    <col min="18" max="18" width="26.6666666666667" style="2" customWidth="1"/>
    <col min="19" max="19" width="25.7777777777778" style="2" customWidth="1"/>
    <col min="20" max="20" width="25.0925925925926" style="2" customWidth="1"/>
    <col min="21" max="23" width="14.5" style="2" customWidth="1"/>
    <col min="24" max="16384" width="9" style="2"/>
  </cols>
  <sheetData>
    <row r="1" spans="3:20"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</row>
    <row r="2" spans="1:20">
      <c r="A2" s="4" t="s">
        <v>18</v>
      </c>
      <c r="B2" s="2" t="s">
        <v>19</v>
      </c>
      <c r="C2" s="9">
        <v>0.00414</v>
      </c>
      <c r="D2" s="9">
        <v>0.187235</v>
      </c>
      <c r="E2" s="9">
        <v>2.104751</v>
      </c>
      <c r="F2" s="9">
        <v>0.55039</v>
      </c>
      <c r="G2" s="9">
        <v>3.460097</v>
      </c>
      <c r="H2" s="9">
        <v>41.341488</v>
      </c>
      <c r="I2" s="9">
        <v>0.980656</v>
      </c>
      <c r="J2" s="9">
        <v>0.55039</v>
      </c>
      <c r="K2" s="9">
        <v>0.1567</v>
      </c>
      <c r="L2" s="9">
        <v>0.157483</v>
      </c>
      <c r="M2" s="9">
        <v>0.00414</v>
      </c>
      <c r="N2" s="9">
        <v>0.187235</v>
      </c>
      <c r="O2" s="9">
        <v>2.104751</v>
      </c>
      <c r="P2" s="9">
        <v>1.585685</v>
      </c>
      <c r="Q2" s="9">
        <v>8.297933</v>
      </c>
      <c r="R2" s="9">
        <v>0.180616</v>
      </c>
      <c r="S2" s="9">
        <v>0.155519</v>
      </c>
      <c r="T2" s="23">
        <v>0.157483</v>
      </c>
    </row>
    <row r="3" s="8" customFormat="1" spans="1:20">
      <c r="A3" s="4"/>
      <c r="B3" s="8" t="s">
        <v>20</v>
      </c>
      <c r="C3" s="9">
        <v>0.003135</v>
      </c>
      <c r="D3" s="9">
        <v>0.141768</v>
      </c>
      <c r="E3" s="9">
        <v>1.805163</v>
      </c>
      <c r="F3" s="9">
        <v>0.530053</v>
      </c>
      <c r="G3" s="9">
        <v>2.927872</v>
      </c>
      <c r="H3" s="9">
        <v>26.022308</v>
      </c>
      <c r="I3" s="9">
        <v>1.050524</v>
      </c>
      <c r="J3" s="9">
        <v>0.530053</v>
      </c>
      <c r="K3" s="9">
        <v>0.074229</v>
      </c>
      <c r="L3" s="9">
        <v>0.119241</v>
      </c>
      <c r="M3" s="9">
        <v>0.003135</v>
      </c>
      <c r="N3" s="9">
        <v>0.141768</v>
      </c>
      <c r="O3" s="9">
        <v>1.805163</v>
      </c>
      <c r="P3" s="9">
        <v>1.25196</v>
      </c>
      <c r="Q3" s="9">
        <v>5.223116</v>
      </c>
      <c r="R3" s="9">
        <v>0.125976</v>
      </c>
      <c r="S3" s="9">
        <v>0.073335</v>
      </c>
      <c r="T3" s="23">
        <v>0.119241</v>
      </c>
    </row>
    <row r="4" s="8" customFormat="1" spans="1:20">
      <c r="A4" s="4"/>
      <c r="B4" s="8" t="s">
        <v>21</v>
      </c>
      <c r="C4" s="9">
        <v>0.004173</v>
      </c>
      <c r="D4" s="9">
        <v>0.188709</v>
      </c>
      <c r="E4" s="9">
        <v>2.153167</v>
      </c>
      <c r="F4" s="9">
        <v>0.603786</v>
      </c>
      <c r="G4" s="9">
        <v>3.756457</v>
      </c>
      <c r="H4" s="9">
        <v>41.05615</v>
      </c>
      <c r="I4" s="9">
        <v>1.257493</v>
      </c>
      <c r="J4" s="9">
        <v>0.603786</v>
      </c>
      <c r="K4" s="9">
        <v>0.151246</v>
      </c>
      <c r="L4" s="9">
        <v>0.158723</v>
      </c>
      <c r="M4" s="9">
        <v>0.004173</v>
      </c>
      <c r="N4" s="9">
        <v>0.188709</v>
      </c>
      <c r="O4" s="9">
        <v>2.153167</v>
      </c>
      <c r="P4" s="9">
        <v>1.643024</v>
      </c>
      <c r="Q4" s="9">
        <v>8.240661</v>
      </c>
      <c r="R4" s="9">
        <v>0.172619</v>
      </c>
      <c r="S4" s="9">
        <v>0.150057</v>
      </c>
      <c r="T4" s="23">
        <v>0.158723</v>
      </c>
    </row>
    <row r="5" customFormat="1" spans="2:20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="2" customFormat="1" spans="1:20">
      <c r="A6" s="4" t="s">
        <v>22</v>
      </c>
      <c r="B6" s="2" t="s">
        <v>19</v>
      </c>
      <c r="C6" s="9">
        <v>0.00414</v>
      </c>
      <c r="D6" s="9">
        <v>0.187235</v>
      </c>
      <c r="E6" s="9">
        <v>2.104751</v>
      </c>
      <c r="F6" s="9">
        <v>0.55039</v>
      </c>
      <c r="G6" s="9">
        <v>3.460097</v>
      </c>
      <c r="H6" s="9">
        <v>68.013416</v>
      </c>
      <c r="I6" s="9">
        <v>0.980656</v>
      </c>
      <c r="J6" s="9">
        <v>0.55039</v>
      </c>
      <c r="K6" s="9">
        <v>0.1567</v>
      </c>
      <c r="L6" s="9">
        <v>0.157483</v>
      </c>
      <c r="M6" s="9">
        <v>0.00414</v>
      </c>
      <c r="N6" s="9">
        <v>0.187235</v>
      </c>
      <c r="O6" s="9">
        <v>2.104751</v>
      </c>
      <c r="P6" s="9">
        <v>1.585685</v>
      </c>
      <c r="Q6" s="9">
        <v>8.297933</v>
      </c>
      <c r="R6" s="9">
        <v>0.180616</v>
      </c>
      <c r="S6" s="9">
        <v>0.155519</v>
      </c>
      <c r="T6" s="23">
        <v>0.157483</v>
      </c>
    </row>
    <row r="7" s="8" customFormat="1" spans="1:20">
      <c r="A7" s="4"/>
      <c r="B7" s="8" t="s">
        <v>20</v>
      </c>
      <c r="C7" s="9">
        <v>0.003135</v>
      </c>
      <c r="D7" s="9">
        <v>0.141768</v>
      </c>
      <c r="E7" s="9">
        <v>1.805163</v>
      </c>
      <c r="F7" s="9">
        <v>0.530053</v>
      </c>
      <c r="G7" s="9">
        <v>2.927872</v>
      </c>
      <c r="H7" s="9">
        <v>42.810893</v>
      </c>
      <c r="I7" s="9">
        <v>1.050524</v>
      </c>
      <c r="J7" s="9">
        <v>0.530053</v>
      </c>
      <c r="K7" s="9">
        <v>0.074229</v>
      </c>
      <c r="L7" s="9">
        <v>0.119241</v>
      </c>
      <c r="M7" s="9">
        <v>0.003135</v>
      </c>
      <c r="N7" s="9">
        <v>0.141768</v>
      </c>
      <c r="O7" s="9">
        <v>1.805163</v>
      </c>
      <c r="P7" s="9">
        <v>1.25196</v>
      </c>
      <c r="Q7" s="9">
        <v>5.223116</v>
      </c>
      <c r="R7" s="9">
        <v>0.125976</v>
      </c>
      <c r="S7" s="9">
        <v>0.073335</v>
      </c>
      <c r="T7" s="23">
        <v>0.119241</v>
      </c>
    </row>
    <row r="8" s="8" customFormat="1" spans="1:20">
      <c r="A8" s="4"/>
      <c r="B8" s="8" t="s">
        <v>21</v>
      </c>
      <c r="C8" s="9">
        <v>0.004173</v>
      </c>
      <c r="D8" s="9">
        <v>0.188709</v>
      </c>
      <c r="E8" s="9">
        <v>2.153167</v>
      </c>
      <c r="F8" s="9">
        <v>0.603786</v>
      </c>
      <c r="G8" s="9">
        <v>3.756457</v>
      </c>
      <c r="H8" s="9">
        <v>67.543989</v>
      </c>
      <c r="I8" s="9">
        <v>1.257493</v>
      </c>
      <c r="J8" s="9">
        <v>0.603786</v>
      </c>
      <c r="K8" s="9">
        <v>0.151246</v>
      </c>
      <c r="L8" s="9">
        <v>0.158723</v>
      </c>
      <c r="M8" s="9">
        <v>0.004173</v>
      </c>
      <c r="N8" s="9">
        <v>0.188709</v>
      </c>
      <c r="O8" s="9">
        <v>2.153167</v>
      </c>
      <c r="P8" s="9">
        <v>1.643024</v>
      </c>
      <c r="Q8" s="9">
        <v>8.240661</v>
      </c>
      <c r="R8" s="9">
        <v>0.172619</v>
      </c>
      <c r="S8" s="9">
        <v>0.150057</v>
      </c>
      <c r="T8" s="23">
        <v>0.158723</v>
      </c>
    </row>
    <row r="10" s="2" customFormat="1" spans="1:20">
      <c r="A10" s="4" t="s">
        <v>23</v>
      </c>
      <c r="B10" s="2" t="s">
        <v>19</v>
      </c>
      <c r="C10" s="9">
        <v>0.00414</v>
      </c>
      <c r="D10" s="9">
        <v>0.187235</v>
      </c>
      <c r="E10" s="9">
        <v>2.104751</v>
      </c>
      <c r="F10" s="9">
        <v>0.55039</v>
      </c>
      <c r="G10" s="9">
        <v>3.460097</v>
      </c>
      <c r="H10" s="9">
        <v>94.685344</v>
      </c>
      <c r="I10" s="9">
        <v>0.980656</v>
      </c>
      <c r="J10" s="9">
        <v>0.55039</v>
      </c>
      <c r="K10" s="9">
        <v>0.1567</v>
      </c>
      <c r="L10" s="9">
        <v>0.157483</v>
      </c>
      <c r="M10" s="9">
        <v>0.00414</v>
      </c>
      <c r="N10" s="9">
        <v>0.187235</v>
      </c>
      <c r="O10" s="9">
        <v>2.104751</v>
      </c>
      <c r="P10" s="9">
        <v>1.585685</v>
      </c>
      <c r="Q10" s="9">
        <v>8.297933</v>
      </c>
      <c r="R10" s="9">
        <v>0.180616</v>
      </c>
      <c r="S10" s="9">
        <v>0.155519</v>
      </c>
      <c r="T10" s="23">
        <v>0.157483</v>
      </c>
    </row>
    <row r="11" s="8" customFormat="1" spans="1:20">
      <c r="A11" s="4"/>
      <c r="B11" s="8" t="s">
        <v>20</v>
      </c>
      <c r="C11" s="9">
        <v>0.003135</v>
      </c>
      <c r="D11" s="9">
        <v>0.141768</v>
      </c>
      <c r="E11" s="9">
        <v>1.805163</v>
      </c>
      <c r="F11" s="9">
        <v>0.530053</v>
      </c>
      <c r="G11" s="9">
        <v>2.927872</v>
      </c>
      <c r="H11" s="9">
        <v>59.599479</v>
      </c>
      <c r="I11" s="9">
        <v>1.050524</v>
      </c>
      <c r="J11" s="9">
        <v>0.530053</v>
      </c>
      <c r="K11" s="9">
        <v>0.074229</v>
      </c>
      <c r="L11" s="9">
        <v>0.119241</v>
      </c>
      <c r="M11" s="9">
        <v>0.003135</v>
      </c>
      <c r="N11" s="9">
        <v>0.141768</v>
      </c>
      <c r="O11" s="9">
        <v>1.805163</v>
      </c>
      <c r="P11" s="9">
        <v>1.25196</v>
      </c>
      <c r="Q11" s="9">
        <v>5.223116</v>
      </c>
      <c r="R11" s="9">
        <v>0.125976</v>
      </c>
      <c r="S11" s="9">
        <v>0.073335</v>
      </c>
      <c r="T11" s="23">
        <v>0.119241</v>
      </c>
    </row>
    <row r="12" s="8" customFormat="1" spans="1:20">
      <c r="A12" s="4"/>
      <c r="B12" s="8" t="s">
        <v>21</v>
      </c>
      <c r="C12" s="9">
        <v>0.004173</v>
      </c>
      <c r="D12" s="9">
        <v>0.188709</v>
      </c>
      <c r="E12" s="9">
        <v>2.153167</v>
      </c>
      <c r="F12" s="9">
        <v>0.603786</v>
      </c>
      <c r="G12" s="9">
        <v>3.756457</v>
      </c>
      <c r="H12" s="9">
        <v>94.031828</v>
      </c>
      <c r="I12" s="9">
        <v>1.257493</v>
      </c>
      <c r="J12" s="9">
        <v>0.603786</v>
      </c>
      <c r="K12" s="9">
        <v>0.151246</v>
      </c>
      <c r="L12" s="9">
        <v>0.158723</v>
      </c>
      <c r="M12" s="9">
        <v>0.004173</v>
      </c>
      <c r="N12" s="9">
        <v>0.188709</v>
      </c>
      <c r="O12" s="9">
        <v>2.153167</v>
      </c>
      <c r="P12" s="9">
        <v>1.643024</v>
      </c>
      <c r="Q12" s="9">
        <v>8.240661</v>
      </c>
      <c r="R12" s="9">
        <v>0.172619</v>
      </c>
      <c r="S12" s="9">
        <v>0.150057</v>
      </c>
      <c r="T12" s="23">
        <v>0.158723</v>
      </c>
    </row>
    <row r="15" spans="1:3">
      <c r="A15" s="4" t="s">
        <v>18</v>
      </c>
      <c r="C15" s="2" t="s">
        <v>24</v>
      </c>
    </row>
    <row r="16" spans="2:3">
      <c r="B16" s="2" t="s">
        <v>19</v>
      </c>
      <c r="C16" s="5">
        <f>SUM(C2:T2)</f>
        <v>62.166692</v>
      </c>
    </row>
    <row r="17" spans="2:3">
      <c r="B17" s="8" t="s">
        <v>20</v>
      </c>
      <c r="C17" s="5">
        <f>SUM(C3:T3)</f>
        <v>41.94804</v>
      </c>
    </row>
    <row r="18" spans="2:3">
      <c r="B18" s="8" t="s">
        <v>21</v>
      </c>
      <c r="C18" s="5">
        <f>SUM(C4:T4)</f>
        <v>62.644823</v>
      </c>
    </row>
    <row r="19" spans="3:3">
      <c r="C19" s="5"/>
    </row>
    <row r="20" spans="3:3">
      <c r="C20" s="5"/>
    </row>
    <row r="21" spans="3:3">
      <c r="C21" s="5" t="s">
        <v>24</v>
      </c>
    </row>
    <row r="22" spans="1:3">
      <c r="A22" s="4" t="s">
        <v>22</v>
      </c>
      <c r="B22" s="2" t="s">
        <v>19</v>
      </c>
      <c r="C22" s="5">
        <f>SUM(C6:T6)</f>
        <v>88.83862</v>
      </c>
    </row>
    <row r="23" spans="2:3">
      <c r="B23" s="8" t="s">
        <v>20</v>
      </c>
      <c r="C23" s="5">
        <f>SUM(C7:T7)</f>
        <v>58.736625</v>
      </c>
    </row>
    <row r="24" spans="2:3">
      <c r="B24" s="8" t="s">
        <v>21</v>
      </c>
      <c r="C24" s="5">
        <f>SUM(C8:T8)</f>
        <v>89.132662</v>
      </c>
    </row>
    <row r="25" spans="3:3">
      <c r="C25" s="5"/>
    </row>
    <row r="26" spans="3:3">
      <c r="C26" s="5"/>
    </row>
    <row r="27" spans="3:3">
      <c r="C27" s="5" t="s">
        <v>24</v>
      </c>
    </row>
    <row r="28" spans="1:3">
      <c r="A28" s="4" t="s">
        <v>23</v>
      </c>
      <c r="B28" s="2" t="s">
        <v>19</v>
      </c>
      <c r="C28" s="5">
        <f>SUM(C10:T10)</f>
        <v>115.510548</v>
      </c>
    </row>
    <row r="29" spans="2:3">
      <c r="B29" s="8" t="s">
        <v>20</v>
      </c>
      <c r="C29" s="5">
        <f>SUM(C11:T11)</f>
        <v>75.525211</v>
      </c>
    </row>
    <row r="30" spans="2:3">
      <c r="B30" s="8" t="s">
        <v>21</v>
      </c>
      <c r="C30" s="5">
        <f>SUM(C12:T12)</f>
        <v>115.620501</v>
      </c>
    </row>
    <row r="31" spans="3:3">
      <c r="C31" s="5"/>
    </row>
    <row r="32" spans="3:3">
      <c r="C32" s="5"/>
    </row>
    <row r="39" spans="20:23">
      <c r="T39" s="10" t="s">
        <v>25</v>
      </c>
      <c r="U39" s="11"/>
      <c r="V39" s="11"/>
      <c r="W39" s="12"/>
    </row>
    <row r="40" spans="20:23">
      <c r="T40" s="13"/>
      <c r="U40" s="2" t="s">
        <v>19</v>
      </c>
      <c r="V40" s="8" t="s">
        <v>20</v>
      </c>
      <c r="W40" s="14" t="s">
        <v>21</v>
      </c>
    </row>
    <row r="41" spans="20:23">
      <c r="T41" s="15" t="s">
        <v>0</v>
      </c>
      <c r="U41" s="9">
        <f>C2</f>
        <v>0.00414</v>
      </c>
      <c r="V41" s="9">
        <f>C3</f>
        <v>0.003135</v>
      </c>
      <c r="W41" s="16">
        <f>C4</f>
        <v>0.004173</v>
      </c>
    </row>
    <row r="42" spans="20:23">
      <c r="T42" s="15" t="s">
        <v>1</v>
      </c>
      <c r="U42" s="9">
        <f>D2</f>
        <v>0.187235</v>
      </c>
      <c r="V42" s="9">
        <f>D3</f>
        <v>0.141768</v>
      </c>
      <c r="W42" s="16">
        <f>D4</f>
        <v>0.188709</v>
      </c>
    </row>
    <row r="43" spans="20:23">
      <c r="T43" s="15" t="s">
        <v>2</v>
      </c>
      <c r="U43" s="9">
        <f>E2</f>
        <v>2.104751</v>
      </c>
      <c r="V43" s="9">
        <f>E3</f>
        <v>1.805163</v>
      </c>
      <c r="W43" s="16">
        <f>E4</f>
        <v>2.153167</v>
      </c>
    </row>
    <row r="44" spans="20:23">
      <c r="T44" s="15" t="s">
        <v>3</v>
      </c>
      <c r="U44" s="9">
        <f>F2</f>
        <v>0.55039</v>
      </c>
      <c r="V44" s="9">
        <f>F3</f>
        <v>0.530053</v>
      </c>
      <c r="W44" s="16">
        <f>F4</f>
        <v>0.603786</v>
      </c>
    </row>
    <row r="45" spans="20:23">
      <c r="T45" s="15" t="s">
        <v>4</v>
      </c>
      <c r="U45" s="9">
        <f>G2</f>
        <v>3.460097</v>
      </c>
      <c r="V45" s="9">
        <f>G3</f>
        <v>2.927872</v>
      </c>
      <c r="W45" s="16">
        <f>G4</f>
        <v>3.756457</v>
      </c>
    </row>
    <row r="46" spans="20:23">
      <c r="T46" s="17" t="s">
        <v>26</v>
      </c>
      <c r="U46" s="18">
        <f>H2</f>
        <v>41.341488</v>
      </c>
      <c r="V46" s="18">
        <f>H3</f>
        <v>26.022308</v>
      </c>
      <c r="W46" s="19">
        <f>H4</f>
        <v>41.05615</v>
      </c>
    </row>
    <row r="47" spans="20:23">
      <c r="T47" s="17" t="s">
        <v>27</v>
      </c>
      <c r="U47" s="18">
        <f>H6</f>
        <v>68.013416</v>
      </c>
      <c r="V47" s="18">
        <f>H7</f>
        <v>42.810893</v>
      </c>
      <c r="W47" s="19">
        <f>H8</f>
        <v>67.543989</v>
      </c>
    </row>
    <row r="48" spans="20:23">
      <c r="T48" s="17" t="s">
        <v>28</v>
      </c>
      <c r="U48" s="18">
        <f>H10</f>
        <v>94.685344</v>
      </c>
      <c r="V48" s="18">
        <f>H11</f>
        <v>59.599479</v>
      </c>
      <c r="W48" s="19">
        <f>H12</f>
        <v>94.031828</v>
      </c>
    </row>
    <row r="49" spans="20:23">
      <c r="T49" s="15" t="s">
        <v>6</v>
      </c>
      <c r="U49" s="9">
        <f>I2</f>
        <v>0.980656</v>
      </c>
      <c r="V49" s="9">
        <f>I3</f>
        <v>1.050524</v>
      </c>
      <c r="W49" s="16">
        <f>I4</f>
        <v>1.257493</v>
      </c>
    </row>
    <row r="50" spans="20:23">
      <c r="T50" s="15" t="s">
        <v>7</v>
      </c>
      <c r="U50" s="9">
        <f>J2</f>
        <v>0.55039</v>
      </c>
      <c r="V50" s="9">
        <f>J3</f>
        <v>0.530053</v>
      </c>
      <c r="W50" s="16">
        <f>J4</f>
        <v>0.603786</v>
      </c>
    </row>
    <row r="51" spans="20:23">
      <c r="T51" s="15" t="s">
        <v>8</v>
      </c>
      <c r="U51" s="9">
        <f>K2</f>
        <v>0.1567</v>
      </c>
      <c r="V51" s="9">
        <f>K3</f>
        <v>0.074229</v>
      </c>
      <c r="W51" s="16">
        <f>K4</f>
        <v>0.151246</v>
      </c>
    </row>
    <row r="52" spans="20:23">
      <c r="T52" s="15" t="s">
        <v>9</v>
      </c>
      <c r="U52" s="9">
        <f>L2</f>
        <v>0.157483</v>
      </c>
      <c r="V52" s="9">
        <f>L3</f>
        <v>0.119241</v>
      </c>
      <c r="W52" s="16">
        <f>L4</f>
        <v>0.158723</v>
      </c>
    </row>
    <row r="53" spans="20:23">
      <c r="T53" s="15" t="s">
        <v>10</v>
      </c>
      <c r="U53" s="9">
        <f>M2</f>
        <v>0.00414</v>
      </c>
      <c r="V53" s="9">
        <f>M3</f>
        <v>0.003135</v>
      </c>
      <c r="W53" s="16">
        <f>M4</f>
        <v>0.004173</v>
      </c>
    </row>
    <row r="54" spans="20:23">
      <c r="T54" s="15" t="s">
        <v>11</v>
      </c>
      <c r="U54" s="9">
        <f>N2</f>
        <v>0.187235</v>
      </c>
      <c r="V54" s="9">
        <f>N3</f>
        <v>0.141768</v>
      </c>
      <c r="W54" s="16">
        <f>N4</f>
        <v>0.188709</v>
      </c>
    </row>
    <row r="55" spans="20:23">
      <c r="T55" s="15" t="s">
        <v>12</v>
      </c>
      <c r="U55" s="9">
        <f>O2</f>
        <v>2.104751</v>
      </c>
      <c r="V55" s="9">
        <f>O3</f>
        <v>1.805163</v>
      </c>
      <c r="W55" s="16">
        <f>O4</f>
        <v>2.153167</v>
      </c>
    </row>
    <row r="56" spans="20:23">
      <c r="T56" s="15" t="s">
        <v>13</v>
      </c>
      <c r="U56" s="9">
        <f>P2</f>
        <v>1.585685</v>
      </c>
      <c r="V56" s="9">
        <f>P3</f>
        <v>1.25196</v>
      </c>
      <c r="W56" s="16">
        <f>P4</f>
        <v>1.643024</v>
      </c>
    </row>
    <row r="57" spans="20:23">
      <c r="T57" s="15" t="s">
        <v>14</v>
      </c>
      <c r="U57" s="9">
        <f>Q2</f>
        <v>8.297933</v>
      </c>
      <c r="V57" s="9">
        <f>Q3</f>
        <v>5.223116</v>
      </c>
      <c r="W57" s="16">
        <f>Q4</f>
        <v>8.240661</v>
      </c>
    </row>
    <row r="58" spans="20:23">
      <c r="T58" s="15" t="s">
        <v>15</v>
      </c>
      <c r="U58" s="9">
        <f>R2</f>
        <v>0.180616</v>
      </c>
      <c r="V58" s="9">
        <f>R3</f>
        <v>0.125976</v>
      </c>
      <c r="W58" s="16">
        <f>R4</f>
        <v>0.172619</v>
      </c>
    </row>
    <row r="59" spans="20:23">
      <c r="T59" s="15" t="s">
        <v>16</v>
      </c>
      <c r="U59" s="9">
        <f>S2</f>
        <v>0.155519</v>
      </c>
      <c r="V59" s="9">
        <f>S3</f>
        <v>0.073335</v>
      </c>
      <c r="W59" s="16">
        <f>S4</f>
        <v>0.150057</v>
      </c>
    </row>
    <row r="60" spans="20:23">
      <c r="T60" s="20" t="s">
        <v>17</v>
      </c>
      <c r="U60" s="21">
        <f>T2</f>
        <v>0.157483</v>
      </c>
      <c r="V60" s="21">
        <f>T3</f>
        <v>0.119241</v>
      </c>
      <c r="W60" s="22">
        <f>T4</f>
        <v>0.158723</v>
      </c>
    </row>
  </sheetData>
  <mergeCells count="4">
    <mergeCell ref="T39:W39"/>
    <mergeCell ref="A2:A4"/>
    <mergeCell ref="A6:A8"/>
    <mergeCell ref="A10:A12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60"/>
  <sheetViews>
    <sheetView tabSelected="1" zoomScale="55" zoomScaleNormal="55" zoomScalePageLayoutView="27" workbookViewId="0">
      <selection activeCell="C39" sqref="C39"/>
    </sheetView>
  </sheetViews>
  <sheetFormatPr defaultColWidth="9" defaultRowHeight="14.4"/>
  <cols>
    <col min="1" max="1" width="9" style="2"/>
    <col min="2" max="2" width="15.1111111111111" style="2" customWidth="1"/>
    <col min="3" max="3" width="11.1111111111111" style="2" customWidth="1"/>
    <col min="4" max="4" width="11.7777777777778" style="2" customWidth="1"/>
    <col min="5" max="5" width="15.4444444444444" style="2" customWidth="1"/>
    <col min="6" max="6" width="17.6666666666667" style="2" customWidth="1"/>
    <col min="7" max="7" width="16" style="2" customWidth="1"/>
    <col min="8" max="8" width="10.6666666666667" style="2" customWidth="1"/>
    <col min="9" max="9" width="18.8888888888889" style="2" customWidth="1"/>
    <col min="10" max="10" width="16.7777777777778" style="2" customWidth="1"/>
    <col min="11" max="11" width="18" style="2" customWidth="1"/>
    <col min="12" max="12" width="14.4444444444444" style="2" customWidth="1"/>
    <col min="13" max="13" width="10.2222222222222" style="2" customWidth="1"/>
    <col min="14" max="14" width="19.5555555555556" style="2" customWidth="1"/>
    <col min="15" max="15" width="23.1111111111111" style="2" customWidth="1"/>
    <col min="16" max="16" width="23.7777777777778" style="2" customWidth="1"/>
    <col min="17" max="17" width="14" style="2" customWidth="1"/>
    <col min="18" max="18" width="26.6666666666667" style="2" customWidth="1"/>
    <col min="19" max="19" width="25.7777777777778" style="2" customWidth="1"/>
    <col min="20" max="20" width="25.0925925925926" style="2" customWidth="1"/>
    <col min="21" max="23" width="14.5" style="2" customWidth="1"/>
    <col min="24" max="24" width="9" style="2"/>
    <col min="25" max="27" width="10.6666666666667" style="2"/>
    <col min="28" max="16384" width="9" style="2"/>
  </cols>
  <sheetData>
    <row r="1" spans="3:20"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</row>
    <row r="2" spans="1:20">
      <c r="A2" s="4" t="s">
        <v>18</v>
      </c>
      <c r="B2" s="2" t="s">
        <v>19</v>
      </c>
      <c r="C2" s="9">
        <v>0.00414</v>
      </c>
      <c r="D2" s="9">
        <v>0.359594</v>
      </c>
      <c r="E2" s="9">
        <v>2.837276</v>
      </c>
      <c r="F2" s="9">
        <v>0.552865</v>
      </c>
      <c r="G2" s="9">
        <v>5.71025</v>
      </c>
      <c r="H2" s="9">
        <v>30.978339</v>
      </c>
      <c r="I2" s="9">
        <v>3.223824</v>
      </c>
      <c r="J2" s="9">
        <v>0.552865</v>
      </c>
      <c r="K2" s="9">
        <v>0.091789</v>
      </c>
      <c r="L2" s="9">
        <v>0.329842</v>
      </c>
      <c r="M2" s="9">
        <v>0.00414</v>
      </c>
      <c r="N2" s="9">
        <v>0.359594</v>
      </c>
      <c r="O2" s="9">
        <v>2.837276</v>
      </c>
      <c r="P2" s="9">
        <v>1.962046</v>
      </c>
      <c r="Q2" s="9">
        <v>5.932022</v>
      </c>
      <c r="R2" s="9">
        <v>0.102141</v>
      </c>
      <c r="S2" s="9">
        <v>0.097409</v>
      </c>
      <c r="T2" s="9">
        <v>0.329842</v>
      </c>
    </row>
    <row r="3" s="8" customFormat="1" spans="1:20">
      <c r="A3" s="4"/>
      <c r="B3" s="8" t="s">
        <v>20</v>
      </c>
      <c r="C3" s="9">
        <v>0.003135</v>
      </c>
      <c r="D3" s="9">
        <v>0.272272</v>
      </c>
      <c r="E3" s="9">
        <v>2.571291</v>
      </c>
      <c r="F3" s="9">
        <v>0.531767</v>
      </c>
      <c r="G3" s="9">
        <v>4.937473</v>
      </c>
      <c r="H3" s="9">
        <v>19.841049</v>
      </c>
      <c r="I3" s="9">
        <v>3.054837</v>
      </c>
      <c r="J3" s="9">
        <v>0.531767</v>
      </c>
      <c r="K3" s="9">
        <v>0.492503</v>
      </c>
      <c r="L3" s="9">
        <v>0.249745</v>
      </c>
      <c r="M3" s="9">
        <v>0.003135</v>
      </c>
      <c r="N3" s="9">
        <v>0.272272</v>
      </c>
      <c r="O3" s="9">
        <v>2.571291</v>
      </c>
      <c r="P3" s="9">
        <v>1.587904</v>
      </c>
      <c r="Q3" s="9">
        <v>3.79935</v>
      </c>
      <c r="R3" s="9">
        <v>0.055852</v>
      </c>
      <c r="S3" s="9">
        <v>0.496759</v>
      </c>
      <c r="T3" s="9">
        <v>0.249745</v>
      </c>
    </row>
    <row r="4" s="8" customFormat="1" spans="1:20">
      <c r="A4" s="4"/>
      <c r="B4" s="8" t="s">
        <v>21</v>
      </c>
      <c r="C4" s="9">
        <v>0.004173</v>
      </c>
      <c r="D4" s="9">
        <v>0.362425</v>
      </c>
      <c r="E4" s="9">
        <v>2.923309</v>
      </c>
      <c r="F4" s="9">
        <v>0.606305</v>
      </c>
      <c r="G4" s="9">
        <v>6.293784</v>
      </c>
      <c r="H4" s="9">
        <v>30.986</v>
      </c>
      <c r="I4" s="9">
        <v>3.78778</v>
      </c>
      <c r="J4" s="9">
        <v>0.606305</v>
      </c>
      <c r="K4" s="9">
        <v>0.156204</v>
      </c>
      <c r="L4" s="9">
        <v>0.332439</v>
      </c>
      <c r="M4" s="9">
        <v>0.004173</v>
      </c>
      <c r="N4" s="9">
        <v>0.362425</v>
      </c>
      <c r="O4" s="9">
        <v>2.923309</v>
      </c>
      <c r="P4" s="9">
        <v>2.067257</v>
      </c>
      <c r="Q4" s="9">
        <v>5.933489</v>
      </c>
      <c r="R4" s="9">
        <v>0.084095</v>
      </c>
      <c r="S4" s="9">
        <v>0.161869</v>
      </c>
      <c r="T4" s="9">
        <v>0.332439</v>
      </c>
    </row>
    <row r="5" customFormat="1" spans="2:20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="2" customFormat="1" spans="1:20">
      <c r="A6" s="4" t="s">
        <v>22</v>
      </c>
      <c r="B6" s="2" t="s">
        <v>19</v>
      </c>
      <c r="C6" s="9">
        <v>0.00414</v>
      </c>
      <c r="D6" s="9">
        <v>0.359594</v>
      </c>
      <c r="E6" s="9">
        <v>2.837276</v>
      </c>
      <c r="F6" s="9">
        <v>0.552865</v>
      </c>
      <c r="G6" s="9">
        <v>5.71025</v>
      </c>
      <c r="H6" s="9">
        <v>57.342883</v>
      </c>
      <c r="I6" s="9">
        <v>3.223824</v>
      </c>
      <c r="J6" s="9">
        <v>0.552865</v>
      </c>
      <c r="K6" s="9">
        <v>0.091789</v>
      </c>
      <c r="L6" s="9">
        <v>0.329842</v>
      </c>
      <c r="M6" s="9">
        <v>0.00414</v>
      </c>
      <c r="N6" s="9">
        <v>0.359594</v>
      </c>
      <c r="O6" s="9">
        <v>2.837276</v>
      </c>
      <c r="P6" s="9">
        <v>1.962046</v>
      </c>
      <c r="Q6" s="9">
        <v>5.932022</v>
      </c>
      <c r="R6" s="9">
        <v>0.102141</v>
      </c>
      <c r="S6" s="9">
        <v>0.097409</v>
      </c>
      <c r="T6" s="9">
        <v>0.329842</v>
      </c>
    </row>
    <row r="7" s="8" customFormat="1" spans="1:20">
      <c r="A7" s="4"/>
      <c r="B7" s="8" t="s">
        <v>20</v>
      </c>
      <c r="C7" s="9">
        <v>0.003135</v>
      </c>
      <c r="D7" s="9">
        <v>0.272272</v>
      </c>
      <c r="E7" s="9">
        <v>2.571291</v>
      </c>
      <c r="F7" s="9">
        <v>0.531767</v>
      </c>
      <c r="G7" s="9">
        <v>4.937473</v>
      </c>
      <c r="H7" s="9">
        <v>36.727049</v>
      </c>
      <c r="I7" s="9">
        <v>3.054837</v>
      </c>
      <c r="J7" s="9">
        <v>0.531767</v>
      </c>
      <c r="K7" s="9">
        <v>0.492503</v>
      </c>
      <c r="L7" s="9">
        <v>0.249745</v>
      </c>
      <c r="M7" s="9">
        <v>0.003135</v>
      </c>
      <c r="N7" s="9">
        <v>0.272272</v>
      </c>
      <c r="O7" s="9">
        <v>2.571291</v>
      </c>
      <c r="P7" s="9">
        <v>1.587904</v>
      </c>
      <c r="Q7" s="9">
        <v>3.79935</v>
      </c>
      <c r="R7" s="9">
        <v>0.055852</v>
      </c>
      <c r="S7" s="9">
        <v>0.496759</v>
      </c>
      <c r="T7" s="9">
        <v>0.249745</v>
      </c>
    </row>
    <row r="8" s="8" customFormat="1" spans="1:20">
      <c r="A8" s="4"/>
      <c r="B8" s="8" t="s">
        <v>21</v>
      </c>
      <c r="C8" s="9">
        <v>0.004173</v>
      </c>
      <c r="D8" s="9">
        <v>0.362425</v>
      </c>
      <c r="E8" s="9">
        <v>2.923309</v>
      </c>
      <c r="F8" s="9">
        <v>0.606305</v>
      </c>
      <c r="G8" s="9">
        <v>6.293784</v>
      </c>
      <c r="H8" s="9">
        <v>57.357064</v>
      </c>
      <c r="I8" s="9">
        <v>3.78778</v>
      </c>
      <c r="J8" s="9">
        <v>0.606305</v>
      </c>
      <c r="K8" s="9">
        <v>0.156204</v>
      </c>
      <c r="L8" s="9">
        <v>0.332439</v>
      </c>
      <c r="M8" s="9">
        <v>0.004173</v>
      </c>
      <c r="N8" s="9">
        <v>0.362425</v>
      </c>
      <c r="O8" s="9">
        <v>2.923309</v>
      </c>
      <c r="P8" s="9">
        <v>2.067257</v>
      </c>
      <c r="Q8" s="9">
        <v>5.933489</v>
      </c>
      <c r="R8" s="9">
        <v>0.084095</v>
      </c>
      <c r="S8" s="9">
        <v>0.161869</v>
      </c>
      <c r="T8" s="9">
        <v>0.332439</v>
      </c>
    </row>
    <row r="10" s="2" customFormat="1" spans="1:20">
      <c r="A10" s="4" t="s">
        <v>23</v>
      </c>
      <c r="B10" s="2" t="s">
        <v>19</v>
      </c>
      <c r="C10" s="9">
        <v>0.00414</v>
      </c>
      <c r="D10" s="9">
        <v>0.359594</v>
      </c>
      <c r="E10" s="9">
        <v>2.837276</v>
      </c>
      <c r="F10" s="9">
        <v>0.552865</v>
      </c>
      <c r="G10" s="9">
        <v>5.71025</v>
      </c>
      <c r="H10" s="9">
        <v>83.707427</v>
      </c>
      <c r="I10" s="9">
        <v>3.223824</v>
      </c>
      <c r="J10" s="9">
        <v>0.552865</v>
      </c>
      <c r="K10" s="9">
        <v>0.091789</v>
      </c>
      <c r="L10" s="9">
        <v>0.329842</v>
      </c>
      <c r="M10" s="9">
        <v>0.00414</v>
      </c>
      <c r="N10" s="9">
        <v>0.359594</v>
      </c>
      <c r="O10" s="9">
        <v>2.837276</v>
      </c>
      <c r="P10" s="9">
        <v>1.962046</v>
      </c>
      <c r="Q10" s="9">
        <v>5.932022</v>
      </c>
      <c r="R10" s="9">
        <v>0.102141</v>
      </c>
      <c r="S10" s="9">
        <v>0.097409</v>
      </c>
      <c r="T10" s="9">
        <v>0.329842</v>
      </c>
    </row>
    <row r="11" s="8" customFormat="1" spans="1:20">
      <c r="A11" s="4"/>
      <c r="B11" s="8" t="s">
        <v>20</v>
      </c>
      <c r="C11" s="9">
        <v>0.003135</v>
      </c>
      <c r="D11" s="9">
        <v>0.272272</v>
      </c>
      <c r="E11" s="9">
        <v>2.571291</v>
      </c>
      <c r="F11" s="9">
        <v>0.531767</v>
      </c>
      <c r="G11" s="9">
        <v>4.937473</v>
      </c>
      <c r="H11" s="9">
        <v>53.613048</v>
      </c>
      <c r="I11" s="9">
        <v>3.054837</v>
      </c>
      <c r="J11" s="9">
        <v>0.531767</v>
      </c>
      <c r="K11" s="9">
        <v>0.492503</v>
      </c>
      <c r="L11" s="9">
        <v>0.249745</v>
      </c>
      <c r="M11" s="9">
        <v>0.003135</v>
      </c>
      <c r="N11" s="9">
        <v>0.272272</v>
      </c>
      <c r="O11" s="9">
        <v>2.571291</v>
      </c>
      <c r="P11" s="9">
        <v>1.587904</v>
      </c>
      <c r="Q11" s="9">
        <v>3.79935</v>
      </c>
      <c r="R11" s="9">
        <v>0.055852</v>
      </c>
      <c r="S11" s="9">
        <v>0.496759</v>
      </c>
      <c r="T11" s="9">
        <v>0.249745</v>
      </c>
    </row>
    <row r="12" s="8" customFormat="1" spans="1:20">
      <c r="A12" s="4"/>
      <c r="B12" s="8" t="s">
        <v>21</v>
      </c>
      <c r="C12" s="9">
        <v>0.004173</v>
      </c>
      <c r="D12" s="9">
        <v>0.362425</v>
      </c>
      <c r="E12" s="9">
        <v>2.923309</v>
      </c>
      <c r="F12" s="9">
        <v>0.606305</v>
      </c>
      <c r="G12" s="9">
        <v>6.293784</v>
      </c>
      <c r="H12" s="9">
        <v>83.728128</v>
      </c>
      <c r="I12" s="9">
        <v>3.78778</v>
      </c>
      <c r="J12" s="9">
        <v>0.606305</v>
      </c>
      <c r="K12" s="9">
        <v>0.156204</v>
      </c>
      <c r="L12" s="9">
        <v>0.332439</v>
      </c>
      <c r="M12" s="9">
        <v>0.004173</v>
      </c>
      <c r="N12" s="9">
        <v>0.362425</v>
      </c>
      <c r="O12" s="9">
        <v>2.923309</v>
      </c>
      <c r="P12" s="9">
        <v>2.067257</v>
      </c>
      <c r="Q12" s="9">
        <v>5.933489</v>
      </c>
      <c r="R12" s="9">
        <v>0.084095</v>
      </c>
      <c r="S12" s="9">
        <v>0.161869</v>
      </c>
      <c r="T12" s="9">
        <v>0.332439</v>
      </c>
    </row>
    <row r="15" spans="1:3">
      <c r="A15" s="4" t="s">
        <v>18</v>
      </c>
      <c r="C15" s="2" t="s">
        <v>24</v>
      </c>
    </row>
    <row r="16" spans="2:3">
      <c r="B16" s="2" t="s">
        <v>19</v>
      </c>
      <c r="C16" s="5">
        <f>SUM(C2:T2)</f>
        <v>56.265254</v>
      </c>
    </row>
    <row r="17" spans="2:3">
      <c r="B17" s="8" t="s">
        <v>20</v>
      </c>
      <c r="C17" s="5">
        <f>SUM(C3:T3)</f>
        <v>41.522147</v>
      </c>
    </row>
    <row r="18" spans="2:3">
      <c r="B18" s="8" t="s">
        <v>21</v>
      </c>
      <c r="C18" s="5">
        <f>SUM(C4:T4)</f>
        <v>57.92778</v>
      </c>
    </row>
    <row r="19" spans="3:3">
      <c r="C19" s="5"/>
    </row>
    <row r="20" spans="3:3">
      <c r="C20" s="5"/>
    </row>
    <row r="21" spans="3:3">
      <c r="C21" s="5" t="s">
        <v>24</v>
      </c>
    </row>
    <row r="22" spans="1:3">
      <c r="A22" s="4" t="s">
        <v>22</v>
      </c>
      <c r="B22" s="2" t="s">
        <v>19</v>
      </c>
      <c r="C22" s="5">
        <f t="shared" ref="C22:C24" si="0">SUM(C6:T6)</f>
        <v>82.629798</v>
      </c>
    </row>
    <row r="23" spans="2:3">
      <c r="B23" s="8" t="s">
        <v>20</v>
      </c>
      <c r="C23" s="5">
        <f t="shared" si="0"/>
        <v>58.408147</v>
      </c>
    </row>
    <row r="24" spans="2:3">
      <c r="B24" s="8" t="s">
        <v>21</v>
      </c>
      <c r="C24" s="5">
        <f t="shared" si="0"/>
        <v>84.298844</v>
      </c>
    </row>
    <row r="25" spans="3:3">
      <c r="C25" s="5"/>
    </row>
    <row r="26" spans="3:3">
      <c r="C26" s="5"/>
    </row>
    <row r="27" spans="3:3">
      <c r="C27" s="5" t="s">
        <v>24</v>
      </c>
    </row>
    <row r="28" spans="1:3">
      <c r="A28" s="4" t="s">
        <v>23</v>
      </c>
      <c r="B28" s="2" t="s">
        <v>19</v>
      </c>
      <c r="C28" s="5">
        <f t="shared" ref="C28:C30" si="1">SUM(C10:T10)</f>
        <v>108.994342</v>
      </c>
    </row>
    <row r="29" spans="2:3">
      <c r="B29" s="8" t="s">
        <v>20</v>
      </c>
      <c r="C29" s="5">
        <f t="shared" si="1"/>
        <v>75.294146</v>
      </c>
    </row>
    <row r="30" spans="2:3">
      <c r="B30" s="8" t="s">
        <v>21</v>
      </c>
      <c r="C30" s="5">
        <f t="shared" si="1"/>
        <v>110.669908</v>
      </c>
    </row>
    <row r="31" spans="3:3">
      <c r="C31" s="5"/>
    </row>
    <row r="32" spans="3:3">
      <c r="C32" s="5"/>
    </row>
    <row r="39" spans="20:23">
      <c r="T39" s="10" t="s">
        <v>25</v>
      </c>
      <c r="U39" s="11"/>
      <c r="V39" s="11"/>
      <c r="W39" s="12"/>
    </row>
    <row r="40" spans="20:23">
      <c r="T40" s="13"/>
      <c r="U40" s="2" t="s">
        <v>19</v>
      </c>
      <c r="V40" s="8" t="s">
        <v>20</v>
      </c>
      <c r="W40" s="14" t="s">
        <v>21</v>
      </c>
    </row>
    <row r="41" spans="20:27">
      <c r="T41" s="15" t="s">
        <v>0</v>
      </c>
      <c r="U41" s="9">
        <f>C2</f>
        <v>0.00414</v>
      </c>
      <c r="V41" s="9">
        <f>C3</f>
        <v>0.003135</v>
      </c>
      <c r="W41" s="16">
        <f>C4</f>
        <v>0.004173</v>
      </c>
      <c r="Y41" s="9"/>
      <c r="Z41" s="9"/>
      <c r="AA41" s="9"/>
    </row>
    <row r="42" spans="20:27">
      <c r="T42" s="15" t="s">
        <v>1</v>
      </c>
      <c r="U42" s="9">
        <f>D2</f>
        <v>0.359594</v>
      </c>
      <c r="V42" s="9">
        <f>D3</f>
        <v>0.272272</v>
      </c>
      <c r="W42" s="16">
        <f>D4</f>
        <v>0.362425</v>
      </c>
      <c r="Y42" s="9"/>
      <c r="Z42" s="9"/>
      <c r="AA42" s="9"/>
    </row>
    <row r="43" spans="20:27">
      <c r="T43" s="15" t="s">
        <v>2</v>
      </c>
      <c r="U43" s="9">
        <f>E2</f>
        <v>2.837276</v>
      </c>
      <c r="V43" s="9">
        <f>E3</f>
        <v>2.571291</v>
      </c>
      <c r="W43" s="16">
        <f>E4</f>
        <v>2.923309</v>
      </c>
      <c r="Y43" s="9"/>
      <c r="Z43" s="9"/>
      <c r="AA43" s="9"/>
    </row>
    <row r="44" spans="20:27">
      <c r="T44" s="15" t="s">
        <v>3</v>
      </c>
      <c r="U44" s="9">
        <f>F2</f>
        <v>0.552865</v>
      </c>
      <c r="V44" s="9">
        <f>F3</f>
        <v>0.531767</v>
      </c>
      <c r="W44" s="16">
        <f>F4</f>
        <v>0.606305</v>
      </c>
      <c r="Y44" s="9"/>
      <c r="Z44" s="9"/>
      <c r="AA44" s="9"/>
    </row>
    <row r="45" spans="20:27">
      <c r="T45" s="15" t="s">
        <v>4</v>
      </c>
      <c r="U45" s="9">
        <f>G2</f>
        <v>5.71025</v>
      </c>
      <c r="V45" s="9">
        <f>G3</f>
        <v>4.937473</v>
      </c>
      <c r="W45" s="16">
        <f>G4</f>
        <v>6.293784</v>
      </c>
      <c r="Y45" s="9"/>
      <c r="Z45" s="9"/>
      <c r="AA45" s="9"/>
    </row>
    <row r="46" spans="20:27">
      <c r="T46" s="17" t="s">
        <v>26</v>
      </c>
      <c r="U46" s="18">
        <f>H2</f>
        <v>30.978339</v>
      </c>
      <c r="V46" s="18">
        <f>H3</f>
        <v>19.841049</v>
      </c>
      <c r="W46" s="19">
        <f>H4</f>
        <v>30.986</v>
      </c>
      <c r="Y46" s="9"/>
      <c r="Z46" s="9"/>
      <c r="AA46" s="9"/>
    </row>
    <row r="47" spans="20:27">
      <c r="T47" s="17" t="s">
        <v>27</v>
      </c>
      <c r="U47" s="18">
        <f>H6</f>
        <v>57.342883</v>
      </c>
      <c r="V47" s="18">
        <f>H7</f>
        <v>36.727049</v>
      </c>
      <c r="W47" s="19">
        <f>H8</f>
        <v>57.357064</v>
      </c>
      <c r="Y47" s="9"/>
      <c r="Z47" s="9"/>
      <c r="AA47" s="9"/>
    </row>
    <row r="48" spans="20:27">
      <c r="T48" s="17" t="s">
        <v>28</v>
      </c>
      <c r="U48" s="18">
        <f>H10</f>
        <v>83.707427</v>
      </c>
      <c r="V48" s="18">
        <f>H11</f>
        <v>53.613048</v>
      </c>
      <c r="W48" s="19">
        <f>H12</f>
        <v>83.728128</v>
      </c>
      <c r="Y48" s="9"/>
      <c r="Z48" s="9"/>
      <c r="AA48" s="9"/>
    </row>
    <row r="49" spans="20:27">
      <c r="T49" s="15" t="s">
        <v>6</v>
      </c>
      <c r="U49" s="9">
        <f>I2</f>
        <v>3.223824</v>
      </c>
      <c r="V49" s="9">
        <f>I3</f>
        <v>3.054837</v>
      </c>
      <c r="W49" s="16">
        <f>I4</f>
        <v>3.78778</v>
      </c>
      <c r="Y49" s="9"/>
      <c r="Z49" s="9"/>
      <c r="AA49" s="9"/>
    </row>
    <row r="50" spans="20:27">
      <c r="T50" s="15" t="s">
        <v>7</v>
      </c>
      <c r="U50" s="9">
        <f>J2</f>
        <v>0.552865</v>
      </c>
      <c r="V50" s="9">
        <f>J3</f>
        <v>0.531767</v>
      </c>
      <c r="W50" s="16">
        <f>J4</f>
        <v>0.606305</v>
      </c>
      <c r="Y50" s="9"/>
      <c r="Z50" s="9"/>
      <c r="AA50" s="9"/>
    </row>
    <row r="51" spans="20:27">
      <c r="T51" s="15" t="s">
        <v>8</v>
      </c>
      <c r="U51" s="9">
        <f>K2</f>
        <v>0.091789</v>
      </c>
      <c r="V51" s="9">
        <f>K3</f>
        <v>0.492503</v>
      </c>
      <c r="W51" s="16">
        <f>K4</f>
        <v>0.156204</v>
      </c>
      <c r="Y51" s="9"/>
      <c r="Z51" s="9"/>
      <c r="AA51" s="9"/>
    </row>
    <row r="52" spans="20:27">
      <c r="T52" s="15" t="s">
        <v>9</v>
      </c>
      <c r="U52" s="9">
        <f>L2</f>
        <v>0.329842</v>
      </c>
      <c r="V52" s="9">
        <f>L3</f>
        <v>0.249745</v>
      </c>
      <c r="W52" s="16">
        <f>L4</f>
        <v>0.332439</v>
      </c>
      <c r="Y52" s="9"/>
      <c r="Z52" s="9"/>
      <c r="AA52" s="9"/>
    </row>
    <row r="53" spans="20:27">
      <c r="T53" s="15" t="s">
        <v>10</v>
      </c>
      <c r="U53" s="9">
        <f>M2</f>
        <v>0.00414</v>
      </c>
      <c r="V53" s="9">
        <f>M3</f>
        <v>0.003135</v>
      </c>
      <c r="W53" s="16">
        <f>M4</f>
        <v>0.004173</v>
      </c>
      <c r="Y53" s="9"/>
      <c r="Z53" s="9"/>
      <c r="AA53" s="9"/>
    </row>
    <row r="54" spans="20:27">
      <c r="T54" s="15" t="s">
        <v>11</v>
      </c>
      <c r="U54" s="9">
        <f>N2</f>
        <v>0.359594</v>
      </c>
      <c r="V54" s="9">
        <f>N3</f>
        <v>0.272272</v>
      </c>
      <c r="W54" s="16">
        <f>N4</f>
        <v>0.362425</v>
      </c>
      <c r="Y54" s="9"/>
      <c r="Z54" s="9"/>
      <c r="AA54" s="9"/>
    </row>
    <row r="55" spans="20:27">
      <c r="T55" s="15" t="s">
        <v>12</v>
      </c>
      <c r="U55" s="9">
        <f>O2</f>
        <v>2.837276</v>
      </c>
      <c r="V55" s="9">
        <f>O3</f>
        <v>2.571291</v>
      </c>
      <c r="W55" s="16">
        <f>O4</f>
        <v>2.923309</v>
      </c>
      <c r="Y55" s="9"/>
      <c r="Z55" s="9"/>
      <c r="AA55" s="9"/>
    </row>
    <row r="56" spans="20:27">
      <c r="T56" s="15" t="s">
        <v>13</v>
      </c>
      <c r="U56" s="9">
        <f>P2</f>
        <v>1.962046</v>
      </c>
      <c r="V56" s="9">
        <f>P3</f>
        <v>1.587904</v>
      </c>
      <c r="W56" s="16">
        <f>P4</f>
        <v>2.067257</v>
      </c>
      <c r="Y56" s="9"/>
      <c r="Z56" s="9"/>
      <c r="AA56" s="9"/>
    </row>
    <row r="57" spans="20:27">
      <c r="T57" s="15" t="s">
        <v>14</v>
      </c>
      <c r="U57" s="9">
        <f>Q2</f>
        <v>5.932022</v>
      </c>
      <c r="V57" s="9">
        <f>Q3</f>
        <v>3.79935</v>
      </c>
      <c r="W57" s="16">
        <f>Q4</f>
        <v>5.933489</v>
      </c>
      <c r="Y57" s="9"/>
      <c r="Z57" s="9"/>
      <c r="AA57" s="9"/>
    </row>
    <row r="58" spans="20:27">
      <c r="T58" s="15" t="s">
        <v>15</v>
      </c>
      <c r="U58" s="9">
        <f>R2</f>
        <v>0.102141</v>
      </c>
      <c r="V58" s="9">
        <f>R3</f>
        <v>0.055852</v>
      </c>
      <c r="W58" s="16">
        <f>R4</f>
        <v>0.084095</v>
      </c>
      <c r="Y58" s="9"/>
      <c r="Z58" s="9"/>
      <c r="AA58" s="9"/>
    </row>
    <row r="59" spans="20:27">
      <c r="T59" s="15" t="s">
        <v>16</v>
      </c>
      <c r="U59" s="9">
        <f>S2</f>
        <v>0.097409</v>
      </c>
      <c r="V59" s="9">
        <f>S3</f>
        <v>0.496759</v>
      </c>
      <c r="W59" s="16">
        <f>S4</f>
        <v>0.161869</v>
      </c>
      <c r="Y59" s="9"/>
      <c r="Z59" s="9"/>
      <c r="AA59" s="9"/>
    </row>
    <row r="60" spans="20:27">
      <c r="T60" s="20" t="s">
        <v>17</v>
      </c>
      <c r="U60" s="21">
        <f>T2</f>
        <v>0.329842</v>
      </c>
      <c r="V60" s="21">
        <f>T3</f>
        <v>0.249745</v>
      </c>
      <c r="W60" s="22">
        <f>T4</f>
        <v>0.332439</v>
      </c>
      <c r="Y60" s="9"/>
      <c r="Z60" s="9"/>
      <c r="AA60" s="9"/>
    </row>
  </sheetData>
  <mergeCells count="4">
    <mergeCell ref="T39:W39"/>
    <mergeCell ref="A2:A4"/>
    <mergeCell ref="A6:A8"/>
    <mergeCell ref="A10:A12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zoomScale="70" zoomScaleNormal="70" workbookViewId="0">
      <selection activeCell="H9" sqref="H9"/>
    </sheetView>
  </sheetViews>
  <sheetFormatPr defaultColWidth="8.88888888888889" defaultRowHeight="14.4" outlineLevelCol="5"/>
  <cols>
    <col min="2" max="2" width="22.8518518518519" customWidth="1"/>
    <col min="3" max="7" width="13.4907407407407" customWidth="1"/>
  </cols>
  <sheetData>
    <row r="1" spans="1:5">
      <c r="A1" s="1"/>
      <c r="B1" s="1"/>
      <c r="C1" s="2" t="s">
        <v>24</v>
      </c>
      <c r="D1" s="2"/>
      <c r="E1" s="3" t="s">
        <v>29</v>
      </c>
    </row>
    <row r="2" spans="1:5">
      <c r="A2" s="4" t="s">
        <v>18</v>
      </c>
      <c r="B2" s="2"/>
      <c r="C2" s="2" t="s">
        <v>30</v>
      </c>
      <c r="D2" s="2" t="s">
        <v>31</v>
      </c>
      <c r="E2" s="3"/>
    </row>
    <row r="3" spans="1:6">
      <c r="A3" s="2"/>
      <c r="B3" s="2" t="s">
        <v>19</v>
      </c>
      <c r="C3" s="5">
        <f>'1500 ft'!C16</f>
        <v>62.166692</v>
      </c>
      <c r="D3" s="5">
        <f>'3000 ft'!C16</f>
        <v>56.265254</v>
      </c>
      <c r="E3" s="6">
        <f>1-D3/C3</f>
        <v>0.0949292589028221</v>
      </c>
      <c r="F3" s="7"/>
    </row>
    <row r="4" spans="1:5">
      <c r="A4" s="2"/>
      <c r="B4" s="8" t="s">
        <v>20</v>
      </c>
      <c r="C4" s="5">
        <f>'1500 ft'!C17</f>
        <v>41.94804</v>
      </c>
      <c r="D4" s="5">
        <f>'3000 ft'!C17</f>
        <v>41.522147</v>
      </c>
      <c r="E4" s="6">
        <f>1-D4/C4</f>
        <v>0.0101528700745019</v>
      </c>
    </row>
    <row r="5" spans="1:5">
      <c r="A5" s="2"/>
      <c r="B5" s="8" t="s">
        <v>21</v>
      </c>
      <c r="C5" s="5">
        <f>'1500 ft'!C18</f>
        <v>62.644823</v>
      </c>
      <c r="D5" s="5">
        <f>'3000 ft'!C18</f>
        <v>57.92778</v>
      </c>
      <c r="E5" s="6">
        <f>1-D5/C5</f>
        <v>0.0752982093987239</v>
      </c>
    </row>
    <row r="6" spans="1:5">
      <c r="A6" s="2"/>
      <c r="B6" s="2"/>
      <c r="C6" s="5"/>
      <c r="D6" s="1"/>
      <c r="E6" s="6"/>
    </row>
    <row r="7" spans="1:5">
      <c r="A7" s="4" t="s">
        <v>22</v>
      </c>
      <c r="B7" s="2" t="s">
        <v>19</v>
      </c>
      <c r="C7" s="5">
        <f>'1500 ft'!C22</f>
        <v>88.83862</v>
      </c>
      <c r="D7" s="5">
        <f>'3000 ft'!C22</f>
        <v>82.629798</v>
      </c>
      <c r="E7" s="6">
        <f>1-D7/C7</f>
        <v>0.0698887713474161</v>
      </c>
    </row>
    <row r="8" spans="1:5">
      <c r="A8" s="2"/>
      <c r="B8" s="8" t="s">
        <v>20</v>
      </c>
      <c r="C8" s="5">
        <f>'1500 ft'!C23</f>
        <v>58.736625</v>
      </c>
      <c r="D8" s="5">
        <f>'3000 ft'!C23</f>
        <v>58.408147</v>
      </c>
      <c r="E8" s="6">
        <f>1-D8/C8</f>
        <v>0.00559238805430207</v>
      </c>
    </row>
    <row r="9" spans="1:5">
      <c r="A9" s="2"/>
      <c r="B9" s="8" t="s">
        <v>21</v>
      </c>
      <c r="C9" s="5">
        <f>'1500 ft'!C24</f>
        <v>89.132662</v>
      </c>
      <c r="D9" s="5">
        <f>'3000 ft'!C24</f>
        <v>84.298844</v>
      </c>
      <c r="E9" s="6">
        <f>1-D9/C9</f>
        <v>0.0542317248417868</v>
      </c>
    </row>
    <row r="10" spans="1:5">
      <c r="A10" s="2"/>
      <c r="B10" s="2"/>
      <c r="C10" s="5"/>
      <c r="D10" s="2"/>
      <c r="E10" s="6"/>
    </row>
    <row r="11" spans="1:5">
      <c r="A11" s="4" t="s">
        <v>23</v>
      </c>
      <c r="B11" s="2" t="s">
        <v>19</v>
      </c>
      <c r="C11" s="5">
        <f>'1500 ft'!C28</f>
        <v>115.510548</v>
      </c>
      <c r="D11" s="5">
        <f>'3000 ft'!C28</f>
        <v>108.994342</v>
      </c>
      <c r="E11" s="6">
        <f>1-D11/C11</f>
        <v>0.0564122161380447</v>
      </c>
    </row>
    <row r="12" spans="1:5">
      <c r="A12" s="2"/>
      <c r="B12" s="8" t="s">
        <v>20</v>
      </c>
      <c r="C12" s="5">
        <f>'1500 ft'!C29</f>
        <v>75.525211</v>
      </c>
      <c r="D12" s="5">
        <f>'3000 ft'!C29</f>
        <v>75.294146</v>
      </c>
      <c r="E12" s="6">
        <f>1-D12/C12</f>
        <v>0.00305944196567653</v>
      </c>
    </row>
    <row r="13" spans="1:5">
      <c r="A13" s="2"/>
      <c r="B13" s="8" t="s">
        <v>21</v>
      </c>
      <c r="C13" s="5">
        <f>'1500 ft'!C30</f>
        <v>115.620501</v>
      </c>
      <c r="D13" s="5">
        <f>'3000 ft'!C30</f>
        <v>110.669908</v>
      </c>
      <c r="E13" s="6">
        <f>1-D13/C13</f>
        <v>0.0428176055040619</v>
      </c>
    </row>
  </sheetData>
  <mergeCells count="2">
    <mergeCell ref="C1:D1"/>
    <mergeCell ref="E1:E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1500 ft</vt:lpstr>
      <vt:lpstr>3000 ft</vt:lpstr>
      <vt:lpstr>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Khoa</cp:lastModifiedBy>
  <dcterms:created xsi:type="dcterms:W3CDTF">2025-07-21T09:59:00Z</dcterms:created>
  <dcterms:modified xsi:type="dcterms:W3CDTF">2025-10-09T05:07:32Z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7F0D986F09C54B05A6C596E0358D2797_12</vt:lpwstr>
  </property>
  <property fmtid="{D5CDD505-2E9C-101B-9397-08002B2CF9AE}" pid="3" name="KSOProductBuildVer">
    <vt:lpwstr>1033-12.2.0.22549</vt:lpwstr>
  </property>
</Properties>
</file>