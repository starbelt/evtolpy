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1"/>
  </bookViews>
  <sheets>
    <sheet name="1500 ft" sheetId="1" r:id="rId1"/>
    <sheet name="3000 ft" sheetId="2" r:id="rId2"/>
    <sheet name="All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<sst xmlns="http://schemas.openxmlformats.org/spreadsheetml/2006/main" count="111" uniqueCount="31">
  <si>
    <t>Time (s)</t>
  </si>
  <si>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</si>
  <si>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</si>
  <si>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</si>
  <si>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</si>
  <si>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</si>
  <si>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</si>
  <si>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</si>
  <si>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</si>
  <si>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</si>
  <si>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</si>
  <si>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</si>
  <si>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</si>
  <si>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</si>
  <si>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</si>
  <si>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</si>
  <si>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</si>
  <si>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</si>
  <si>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</si>
  <si>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</si>
  <si>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</si>
  <si>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</si>
  <si>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</si>
  <si>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</si>
  <si>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</si>
  <si>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</si>
  <si>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Start</t>
  </si>
  <si>
    <t>Time</t>
  </si>
  <si>
    <t>% Drop</t>
  </si>
  <si>
    <t>1500 ft</t>
  </si>
  <si>
    <t>3000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</si>
</sst>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  <numFmt numFmtId="179" formatCode="0.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3" applyAlignment="1"/>
    <xf numFmtId="0" fontId="0" fillId="0" borderId="0" xfId="0" applyFont="1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9" fontId="0" fillId="0" borderId="0" xfId="0" applyNumberFormat="1" applyFont="1" applyFill="1" applyAlignment="1">
      <alignment horizontal="center" vertical="center"/>
    </xf>
    <xf numFmtId="10" fontId="0" fillId="0" borderId="0" xfId="3" applyNumberFormat="1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At 3000 ft</a:t>
            </a:r>
            <a:endParaRPr sz="1800"/>
          </a:p>
        </c:rich>
      </c:tx>
      <c:layout>
        <c:manualLayout>
          <c:xMode val="edge"/>
          <c:yMode val="edge"/>
          <c:x val="0.323135203027967"/>
          <c:y val="0.03339027384828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ft'!$C$5:$U$5</c:f>
              <c:numCache>
                <c:formatCode>0.00_ </c:formatCode>
                <c:ptCount val="19"/>
                <c:pt idx="0">
                  <c:v>56.265254</c:v>
                </c:pt>
                <c:pt idx="1">
                  <c:v>56.261114</c:v>
                </c:pt>
                <c:pt idx="2">
                  <c:v>55.90152</c:v>
                </c:pt>
                <c:pt idx="3">
                  <c:v>53.064244</c:v>
                </c:pt>
                <c:pt idx="4">
                  <c:v>52.511379</c:v>
                </c:pt>
                <c:pt idx="5">
                  <c:v>46.801129</c:v>
                </c:pt>
                <c:pt idx="6">
                  <c:v>15.82279</c:v>
                </c:pt>
                <c:pt idx="7">
                  <c:v>12.598966</c:v>
                </c:pt>
                <c:pt idx="8">
                  <c:v>12.046101</c:v>
                </c:pt>
                <c:pt idx="9">
                  <c:v>11.954312</c:v>
                </c:pt>
                <c:pt idx="10">
                  <c:v>11.62447</c:v>
                </c:pt>
                <c:pt idx="11">
                  <c:v>11.62033</c:v>
                </c:pt>
                <c:pt idx="12">
                  <c:v>11.260736</c:v>
                </c:pt>
                <c:pt idx="13">
                  <c:v>8.42346</c:v>
                </c:pt>
                <c:pt idx="14">
                  <c:v>6.461414</c:v>
                </c:pt>
                <c:pt idx="15">
                  <c:v>0.529391999999999</c:v>
                </c:pt>
                <c:pt idx="16">
                  <c:v>0.427250999999999</c:v>
                </c:pt>
                <c:pt idx="17">
                  <c:v>0.329841999999999</c:v>
                </c:pt>
                <c:pt idx="18">
                  <c:v>-1.27675647831893e-15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ft'!$C$9:$U$9</c:f>
              <c:numCache>
                <c:formatCode>0.00_ </c:formatCode>
                <c:ptCount val="19"/>
                <c:pt idx="0">
                  <c:v>41.522147</c:v>
                </c:pt>
                <c:pt idx="1">
                  <c:v>41.519012</c:v>
                </c:pt>
                <c:pt idx="2">
                  <c:v>41.24674</c:v>
                </c:pt>
                <c:pt idx="3">
                  <c:v>38.675449</c:v>
                </c:pt>
                <c:pt idx="4">
                  <c:v>38.143682</c:v>
                </c:pt>
                <c:pt idx="5">
                  <c:v>33.206209</c:v>
                </c:pt>
                <c:pt idx="6">
                  <c:v>13.36516</c:v>
                </c:pt>
                <c:pt idx="7">
                  <c:v>10.310323</c:v>
                </c:pt>
                <c:pt idx="8">
                  <c:v>9.77855599999999</c:v>
                </c:pt>
                <c:pt idx="9">
                  <c:v>9.28605299999999</c:v>
                </c:pt>
                <c:pt idx="10">
                  <c:v>9.03630799999999</c:v>
                </c:pt>
                <c:pt idx="11">
                  <c:v>9.03317299999999</c:v>
                </c:pt>
                <c:pt idx="12">
                  <c:v>8.76090099999999</c:v>
                </c:pt>
                <c:pt idx="13">
                  <c:v>6.18960999999999</c:v>
                </c:pt>
                <c:pt idx="14">
                  <c:v>4.60170599999999</c:v>
                </c:pt>
                <c:pt idx="15">
                  <c:v>0.802355999999993</c:v>
                </c:pt>
                <c:pt idx="16">
                  <c:v>0.746503999999993</c:v>
                </c:pt>
                <c:pt idx="17">
                  <c:v>0.249744999999993</c:v>
                </c:pt>
                <c:pt idx="18">
                  <c:v>-7.04991620636974e-15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ft'!$C$13:$U$13</c:f>
              <c:numCache>
                <c:formatCode>0.00_ </c:formatCode>
                <c:ptCount val="19"/>
                <c:pt idx="0">
                  <c:v>57.92778</c:v>
                </c:pt>
                <c:pt idx="1">
                  <c:v>57.923607</c:v>
                </c:pt>
                <c:pt idx="2">
                  <c:v>57.561182</c:v>
                </c:pt>
                <c:pt idx="3">
                  <c:v>54.637873</c:v>
                </c:pt>
                <c:pt idx="4">
                  <c:v>54.031568</c:v>
                </c:pt>
                <c:pt idx="5">
                  <c:v>47.737784</c:v>
                </c:pt>
                <c:pt idx="6">
                  <c:v>16.751784</c:v>
                </c:pt>
                <c:pt idx="7">
                  <c:v>12.964004</c:v>
                </c:pt>
                <c:pt idx="8">
                  <c:v>12.357699</c:v>
                </c:pt>
                <c:pt idx="9">
                  <c:v>12.201495</c:v>
                </c:pt>
                <c:pt idx="10">
                  <c:v>11.869056</c:v>
                </c:pt>
                <c:pt idx="11">
                  <c:v>11.864883</c:v>
                </c:pt>
                <c:pt idx="12">
                  <c:v>11.502458</c:v>
                </c:pt>
                <c:pt idx="13">
                  <c:v>8.57914899999999</c:v>
                </c:pt>
                <c:pt idx="14">
                  <c:v>6.51189199999999</c:v>
                </c:pt>
                <c:pt idx="15">
                  <c:v>0.578402999999989</c:v>
                </c:pt>
                <c:pt idx="16">
                  <c:v>0.494307999999989</c:v>
                </c:pt>
                <c:pt idx="17">
                  <c:v>0.332438999999989</c:v>
                </c:pt>
                <c:pt idx="18">
                  <c:v>-1.09356967925578e-14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ft'!$C$19:$U$19</c:f>
              <c:numCache>
                <c:formatCode>0.00_ </c:formatCode>
                <c:ptCount val="19"/>
                <c:pt idx="0">
                  <c:v>82.629798</c:v>
                </c:pt>
                <c:pt idx="1">
                  <c:v>82.625658</c:v>
                </c:pt>
                <c:pt idx="2">
                  <c:v>82.266064</c:v>
                </c:pt>
                <c:pt idx="3">
                  <c:v>79.428788</c:v>
                </c:pt>
                <c:pt idx="4">
                  <c:v>78.875923</c:v>
                </c:pt>
                <c:pt idx="5">
                  <c:v>73.165673</c:v>
                </c:pt>
                <c:pt idx="6">
                  <c:v>15.82279</c:v>
                </c:pt>
                <c:pt idx="7">
                  <c:v>12.598966</c:v>
                </c:pt>
                <c:pt idx="8">
                  <c:v>12.046101</c:v>
                </c:pt>
                <c:pt idx="9">
                  <c:v>11.954312</c:v>
                </c:pt>
                <c:pt idx="10">
                  <c:v>11.62447</c:v>
                </c:pt>
                <c:pt idx="11">
                  <c:v>11.62033</c:v>
                </c:pt>
                <c:pt idx="12">
                  <c:v>11.260736</c:v>
                </c:pt>
                <c:pt idx="13">
                  <c:v>8.42345999999998</c:v>
                </c:pt>
                <c:pt idx="14">
                  <c:v>6.46141399999998</c:v>
                </c:pt>
                <c:pt idx="15">
                  <c:v>0.529391999999985</c:v>
                </c:pt>
                <c:pt idx="16">
                  <c:v>0.427250999999985</c:v>
                </c:pt>
                <c:pt idx="17">
                  <c:v>0.329841999999985</c:v>
                </c:pt>
                <c:pt idx="18">
                  <c:v>-1.54876111935209e-14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ft'!$C$23:$U$23</c:f>
              <c:numCache>
                <c:formatCode>0.00_ </c:formatCode>
                <c:ptCount val="19"/>
                <c:pt idx="0">
                  <c:v>58.408147</c:v>
                </c:pt>
                <c:pt idx="1">
                  <c:v>58.405012</c:v>
                </c:pt>
                <c:pt idx="2">
                  <c:v>58.13274</c:v>
                </c:pt>
                <c:pt idx="3">
                  <c:v>55.561449</c:v>
                </c:pt>
                <c:pt idx="4">
                  <c:v>55.029682</c:v>
                </c:pt>
                <c:pt idx="5">
                  <c:v>50.092209</c:v>
                </c:pt>
                <c:pt idx="6">
                  <c:v>13.36516</c:v>
                </c:pt>
                <c:pt idx="7">
                  <c:v>10.310323</c:v>
                </c:pt>
                <c:pt idx="8">
                  <c:v>9.778556</c:v>
                </c:pt>
                <c:pt idx="9">
                  <c:v>9.286053</c:v>
                </c:pt>
                <c:pt idx="10">
                  <c:v>9.036308</c:v>
                </c:pt>
                <c:pt idx="11">
                  <c:v>9.033173</c:v>
                </c:pt>
                <c:pt idx="12">
                  <c:v>8.760901</c:v>
                </c:pt>
                <c:pt idx="13">
                  <c:v>6.18961</c:v>
                </c:pt>
                <c:pt idx="14">
                  <c:v>4.601706</c:v>
                </c:pt>
                <c:pt idx="15">
                  <c:v>0.802355999999997</c:v>
                </c:pt>
                <c:pt idx="16">
                  <c:v>0.746503999999997</c:v>
                </c:pt>
                <c:pt idx="17">
                  <c:v>0.249744999999996</c:v>
                </c:pt>
                <c:pt idx="18">
                  <c:v>-3.49720252756924e-15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ft'!$C$27:$U$27</c:f>
              <c:numCache>
                <c:formatCode>0.00_ </c:formatCode>
                <c:ptCount val="19"/>
                <c:pt idx="0">
                  <c:v>84.298844</c:v>
                </c:pt>
                <c:pt idx="1">
                  <c:v>84.294671</c:v>
                </c:pt>
                <c:pt idx="2">
                  <c:v>83.932246</c:v>
                </c:pt>
                <c:pt idx="3">
                  <c:v>81.008937</c:v>
                </c:pt>
                <c:pt idx="4">
                  <c:v>80.402632</c:v>
                </c:pt>
                <c:pt idx="5">
                  <c:v>74.108848</c:v>
                </c:pt>
                <c:pt idx="6">
                  <c:v>16.751784</c:v>
                </c:pt>
                <c:pt idx="7">
                  <c:v>12.964004</c:v>
                </c:pt>
                <c:pt idx="8">
                  <c:v>12.357699</c:v>
                </c:pt>
                <c:pt idx="9">
                  <c:v>12.201495</c:v>
                </c:pt>
                <c:pt idx="10">
                  <c:v>11.869056</c:v>
                </c:pt>
                <c:pt idx="11">
                  <c:v>11.864883</c:v>
                </c:pt>
                <c:pt idx="12">
                  <c:v>11.502458</c:v>
                </c:pt>
                <c:pt idx="13">
                  <c:v>8.57914899999999</c:v>
                </c:pt>
                <c:pt idx="14">
                  <c:v>6.51189199999999</c:v>
                </c:pt>
                <c:pt idx="15">
                  <c:v>0.578402999999993</c:v>
                </c:pt>
                <c:pt idx="16">
                  <c:v>0.494307999999993</c:v>
                </c:pt>
                <c:pt idx="17">
                  <c:v>0.332438999999993</c:v>
                </c:pt>
                <c:pt idx="18">
                  <c:v>-7.38298311375729e-15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ft'!$C$33:$U$33</c:f>
              <c:numCache>
                <c:formatCode>0.00_ </c:formatCode>
                <c:ptCount val="19"/>
                <c:pt idx="0">
                  <c:v>108.994342</c:v>
                </c:pt>
                <c:pt idx="1">
                  <c:v>108.990202</c:v>
                </c:pt>
                <c:pt idx="2">
                  <c:v>108.630608</c:v>
                </c:pt>
                <c:pt idx="3">
                  <c:v>105.793332</c:v>
                </c:pt>
                <c:pt idx="4">
                  <c:v>105.240467</c:v>
                </c:pt>
                <c:pt idx="5">
                  <c:v>99.530217</c:v>
                </c:pt>
                <c:pt idx="6">
                  <c:v>15.82279</c:v>
                </c:pt>
                <c:pt idx="7">
                  <c:v>12.598966</c:v>
                </c:pt>
                <c:pt idx="8">
                  <c:v>12.046101</c:v>
                </c:pt>
                <c:pt idx="9">
                  <c:v>11.954312</c:v>
                </c:pt>
                <c:pt idx="10">
                  <c:v>11.62447</c:v>
                </c:pt>
                <c:pt idx="11">
                  <c:v>11.62033</c:v>
                </c:pt>
                <c:pt idx="12">
                  <c:v>11.260736</c:v>
                </c:pt>
                <c:pt idx="13">
                  <c:v>8.42346</c:v>
                </c:pt>
                <c:pt idx="14">
                  <c:v>6.461414</c:v>
                </c:pt>
                <c:pt idx="15">
                  <c:v>0.529391999999999</c:v>
                </c:pt>
                <c:pt idx="16">
                  <c:v>0.427250999999999</c:v>
                </c:pt>
                <c:pt idx="17">
                  <c:v>0.329841999999999</c:v>
                </c:pt>
                <c:pt idx="18">
                  <c:v>-1.27675647831893e-15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ft'!$C$37:$U$37</c:f>
              <c:numCache>
                <c:formatCode>0.00_ </c:formatCode>
                <c:ptCount val="19"/>
                <c:pt idx="0">
                  <c:v>75.294146</c:v>
                </c:pt>
                <c:pt idx="1">
                  <c:v>75.291011</c:v>
                </c:pt>
                <c:pt idx="2">
                  <c:v>75.018739</c:v>
                </c:pt>
                <c:pt idx="3">
                  <c:v>72.447448</c:v>
                </c:pt>
                <c:pt idx="4">
                  <c:v>71.915681</c:v>
                </c:pt>
                <c:pt idx="5">
                  <c:v>66.978208</c:v>
                </c:pt>
                <c:pt idx="6">
                  <c:v>13.36516</c:v>
                </c:pt>
                <c:pt idx="7">
                  <c:v>10.310323</c:v>
                </c:pt>
                <c:pt idx="8">
                  <c:v>9.778556</c:v>
                </c:pt>
                <c:pt idx="9">
                  <c:v>9.286053</c:v>
                </c:pt>
                <c:pt idx="10">
                  <c:v>9.036308</c:v>
                </c:pt>
                <c:pt idx="11">
                  <c:v>9.033173</c:v>
                </c:pt>
                <c:pt idx="12">
                  <c:v>8.760901</c:v>
                </c:pt>
                <c:pt idx="13">
                  <c:v>6.18961</c:v>
                </c:pt>
                <c:pt idx="14">
                  <c:v>4.601706</c:v>
                </c:pt>
                <c:pt idx="15">
                  <c:v>0.802355999999997</c:v>
                </c:pt>
                <c:pt idx="16">
                  <c:v>0.746503999999997</c:v>
                </c:pt>
                <c:pt idx="17">
                  <c:v>0.249744999999996</c:v>
                </c:pt>
                <c:pt idx="18">
                  <c:v>-3.49720252756924e-15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ft'!$C$41:$U$41</c:f>
              <c:numCache>
                <c:formatCode>0.00_ </c:formatCode>
                <c:ptCount val="19"/>
                <c:pt idx="0">
                  <c:v>110.669908</c:v>
                </c:pt>
                <c:pt idx="1">
                  <c:v>110.665735</c:v>
                </c:pt>
                <c:pt idx="2">
                  <c:v>110.30331</c:v>
                </c:pt>
                <c:pt idx="3">
                  <c:v>107.380001</c:v>
                </c:pt>
                <c:pt idx="4">
                  <c:v>106.773696</c:v>
                </c:pt>
                <c:pt idx="5">
                  <c:v>100.479912</c:v>
                </c:pt>
                <c:pt idx="6">
                  <c:v>16.751784</c:v>
                </c:pt>
                <c:pt idx="7">
                  <c:v>12.964004</c:v>
                </c:pt>
                <c:pt idx="8">
                  <c:v>12.357699</c:v>
                </c:pt>
                <c:pt idx="9">
                  <c:v>12.201495</c:v>
                </c:pt>
                <c:pt idx="10">
                  <c:v>11.869056</c:v>
                </c:pt>
                <c:pt idx="11">
                  <c:v>11.864883</c:v>
                </c:pt>
                <c:pt idx="12">
                  <c:v>11.502458</c:v>
                </c:pt>
                <c:pt idx="13">
                  <c:v>8.579149</c:v>
                </c:pt>
                <c:pt idx="14">
                  <c:v>6.511892</c:v>
                </c:pt>
                <c:pt idx="15">
                  <c:v>0.578403</c:v>
                </c:pt>
                <c:pt idx="16">
                  <c:v>0.494308</c:v>
                </c:pt>
                <c:pt idx="17">
                  <c:v>0.332439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At 3000 ft</a:t>
            </a:r>
            <a:endParaRPr sz="1800"/>
          </a:p>
        </c:rich>
      </c:tx>
      <c:layout>
        <c:manualLayout>
          <c:xMode val="edge"/>
          <c:yMode val="edge"/>
          <c:x val="0.402066825183314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ft'!$C$6:$U$6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0.999926419953601</c:v>
                </c:pt>
                <c:pt idx="2" c:formatCode="0.00%">
                  <c:v>0.993535370870271</c:v>
                </c:pt>
                <c:pt idx="3" c:formatCode="0.00%">
                  <c:v>0.943108583496308</c:v>
                </c:pt>
                <c:pt idx="4" c:formatCode="0.00%">
                  <c:v>0.933282537034313</c:v>
                </c:pt>
                <c:pt idx="5" c:formatCode="0.00%">
                  <c:v>0.831794503229293</c:v>
                </c:pt>
                <c:pt idx="6" c:formatCode="0.00%">
                  <c:v>0.281217783181073</c:v>
                </c:pt>
                <c:pt idx="7" c:formatCode="0.00%">
                  <c:v>0.223920894412029</c:v>
                </c:pt>
                <c:pt idx="8" c:formatCode="0.00%">
                  <c:v>0.214094847950033</c:v>
                </c:pt>
                <c:pt idx="9" c:formatCode="0.00%">
                  <c:v>0.212463485901974</c:v>
                </c:pt>
                <c:pt idx="10" c:formatCode="0.00%">
                  <c:v>0.206601217867069</c:v>
                </c:pt>
                <c:pt idx="11" c:formatCode="0.00%">
                  <c:v>0.20652763782067</c:v>
                </c:pt>
                <c:pt idx="12" c:formatCode="0.00%">
                  <c:v>0.20013658873734</c:v>
                </c:pt>
                <c:pt idx="13" c:formatCode="0.00%">
                  <c:v>0.149709801363378</c:v>
                </c:pt>
                <c:pt idx="14" c:formatCode="0.00%">
                  <c:v>0.114838440078845</c:v>
                </c:pt>
                <c:pt idx="15" c:formatCode="0.00%">
                  <c:v>0.00940886181727712</c:v>
                </c:pt>
                <c:pt idx="16" c:formatCode="0.00%">
                  <c:v>0.00759351410730322</c:v>
                </c:pt>
                <c:pt idx="17" c:formatCode="0.00%">
                  <c:v>0.00586226803490479</c:v>
                </c:pt>
                <c:pt idx="18" c:formatCode="0.00%">
                  <c:v>-2.26917393515886e-17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ft'!$C$10:$U$10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0.999924498123857</c:v>
                </c:pt>
                <c:pt idx="2" c:formatCode="0.00%">
                  <c:v>0.993367226410523</c:v>
                </c:pt>
                <c:pt idx="3" c:formatCode="0.00%">
                  <c:v>0.931441454604936</c:v>
                </c:pt>
                <c:pt idx="4" c:formatCode="0.00%">
                  <c:v>0.918634626480177</c:v>
                </c:pt>
                <c:pt idx="5" c:formatCode="0.00%">
                  <c:v>0.799722832251425</c:v>
                </c:pt>
                <c:pt idx="6" c:formatCode="0.00%">
                  <c:v>0.321880272713258</c:v>
                </c:pt>
                <c:pt idx="7" c:formatCode="0.00%">
                  <c:v>0.248309004830603</c:v>
                </c:pt>
                <c:pt idx="8" c:formatCode="0.00%">
                  <c:v>0.235502176705843</c:v>
                </c:pt>
                <c:pt idx="9" c:formatCode="0.00%">
                  <c:v>0.223640964423155</c:v>
                </c:pt>
                <c:pt idx="10" c:formatCode="0.00%">
                  <c:v>0.217626222459065</c:v>
                </c:pt>
                <c:pt idx="11" c:formatCode="0.00%">
                  <c:v>0.217550720582922</c:v>
                </c:pt>
                <c:pt idx="12" c:formatCode="0.00%">
                  <c:v>0.210993448869587</c:v>
                </c:pt>
                <c:pt idx="13" c:formatCode="0.00%">
                  <c:v>0.149067677064001</c:v>
                </c:pt>
                <c:pt idx="14" c:formatCode="0.00%">
                  <c:v>0.110825338583768</c:v>
                </c:pt>
                <c:pt idx="15" c:formatCode="0.00%">
                  <c:v>0.0193235672519534</c:v>
                </c:pt>
                <c:pt idx="16" c:formatCode="0.00%">
                  <c:v>0.0179784537634818</c:v>
                </c:pt>
                <c:pt idx="17" c:formatCode="0.00%">
                  <c:v>0.0060147419640895</c:v>
                </c:pt>
                <c:pt idx="18" c:formatCode="0.00%">
                  <c:v>-1.69786890026899e-16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ft'!$C$14:$U$14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0.999927962024438</c:v>
                </c:pt>
                <c:pt idx="2" c:formatCode="0.00%">
                  <c:v>0.993671464710023</c:v>
                </c:pt>
                <c:pt idx="3" c:formatCode="0.00%">
                  <c:v>0.943206748126719</c:v>
                </c:pt>
                <c:pt idx="4" c:formatCode="0.00%">
                  <c:v>0.932740180963261</c:v>
                </c:pt>
                <c:pt idx="5" c:formatCode="0.00%">
                  <c:v>0.82409137722868</c:v>
                </c:pt>
                <c:pt idx="6" c:formatCode="0.00%">
                  <c:v>0.289183945940963</c:v>
                </c:pt>
                <c:pt idx="7" c:formatCode="0.00%">
                  <c:v>0.223795974919115</c:v>
                </c:pt>
                <c:pt idx="8" c:formatCode="0.00%">
                  <c:v>0.213329407755657</c:v>
                </c:pt>
                <c:pt idx="9" c:formatCode="0.00%">
                  <c:v>0.210632877697022</c:v>
                </c:pt>
                <c:pt idx="10" c:formatCode="0.00%">
                  <c:v>0.204894024939329</c:v>
                </c:pt>
                <c:pt idx="11" c:formatCode="0.00%">
                  <c:v>0.204821986963767</c:v>
                </c:pt>
                <c:pt idx="12" c:formatCode="0.00%">
                  <c:v>0.198565489649353</c:v>
                </c:pt>
                <c:pt idx="13" c:formatCode="0.00%">
                  <c:v>0.148100773066049</c:v>
                </c:pt>
                <c:pt idx="14" c:formatCode="0.00%">
                  <c:v>0.112413974780321</c:v>
                </c:pt>
                <c:pt idx="15" c:formatCode="0.00%">
                  <c:v>0.00998489843732988</c:v>
                </c:pt>
                <c:pt idx="16" c:formatCode="0.00%">
                  <c:v>0.00853317700074108</c:v>
                </c:pt>
                <c:pt idx="17" c:formatCode="0.00%">
                  <c:v>0.00573885275769223</c:v>
                </c:pt>
                <c:pt idx="18" c:formatCode="0.00%">
                  <c:v>-1.88781562016666e-16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ft'!$C$20:$U$20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0.999949897009309</c:v>
                </c:pt>
                <c:pt idx="2" c:formatCode="0.00%">
                  <c:v>0.99559802869178</c:v>
                </c:pt>
                <c:pt idx="3" c:formatCode="0.00%">
                  <c:v>0.961260827480178</c:v>
                </c:pt>
                <c:pt idx="4" c:formatCode="0.00%">
                  <c:v>0.954569960342878</c:v>
                </c:pt>
                <c:pt idx="5" c:formatCode="0.00%">
                  <c:v>0.885463534595595</c:v>
                </c:pt>
                <c:pt idx="6" c:formatCode="0.00%">
                  <c:v>0.191490120791533</c:v>
                </c:pt>
                <c:pt idx="7" c:formatCode="0.00%">
                  <c:v>0.152474849327357</c:v>
                </c:pt>
                <c:pt idx="8" c:formatCode="0.00%">
                  <c:v>0.145783982190057</c:v>
                </c:pt>
                <c:pt idx="9" c:formatCode="0.00%">
                  <c:v>0.144673135955143</c:v>
                </c:pt>
                <c:pt idx="10" c:formatCode="0.00%">
                  <c:v>0.140681331448977</c:v>
                </c:pt>
                <c:pt idx="11" c:formatCode="0.00%">
                  <c:v>0.140631228458286</c:v>
                </c:pt>
                <c:pt idx="12" c:formatCode="0.00%">
                  <c:v>0.136279360140757</c:v>
                </c:pt>
                <c:pt idx="13" c:formatCode="0.00%">
                  <c:v>0.101942158929155</c:v>
                </c:pt>
                <c:pt idx="14" c:formatCode="0.00%">
                  <c:v>0.0781971414234848</c:v>
                </c:pt>
                <c:pt idx="15" c:formatCode="0.00%">
                  <c:v>0.00640679286181947</c:v>
                </c:pt>
                <c:pt idx="16" c:formatCode="0.00%">
                  <c:v>0.00517066494583449</c:v>
                </c:pt>
                <c:pt idx="17" c:formatCode="0.00%">
                  <c:v>0.00399180450616598</c:v>
                </c:pt>
                <c:pt idx="18" c:formatCode="0.00%">
                  <c:v>-1.87433729337217e-16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ft'!$C$24:$U$24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0.99994632598086</c:v>
                </c:pt>
                <c:pt idx="2" c:formatCode="0.00%">
                  <c:v>0.995284784501039</c:v>
                </c:pt>
                <c:pt idx="3" c:formatCode="0.00%">
                  <c:v>0.951261970354923</c:v>
                </c:pt>
                <c:pt idx="4" c:formatCode="0.00%">
                  <c:v>0.942157641124961</c:v>
                </c:pt>
                <c:pt idx="5" c:formatCode="0.00%">
                  <c:v>0.857623663356415</c:v>
                </c:pt>
                <c:pt idx="6" c:formatCode="0.00%">
                  <c:v>0.228823557782102</c:v>
                </c:pt>
                <c:pt idx="7" c:formatCode="0.00%">
                  <c:v>0.176522001288622</c:v>
                </c:pt>
                <c:pt idx="8" c:formatCode="0.00%">
                  <c:v>0.16741767205866</c:v>
                </c:pt>
                <c:pt idx="9" c:formatCode="0.00%">
                  <c:v>0.158985577816738</c:v>
                </c:pt>
                <c:pt idx="10" c:formatCode="0.00%">
                  <c:v>0.154709718834258</c:v>
                </c:pt>
                <c:pt idx="11" c:formatCode="0.00%">
                  <c:v>0.154656044815118</c:v>
                </c:pt>
                <c:pt idx="12" c:formatCode="0.00%">
                  <c:v>0.149994503335297</c:v>
                </c:pt>
                <c:pt idx="13" c:formatCode="0.00%">
                  <c:v>0.105971689189181</c:v>
                </c:pt>
                <c:pt idx="14" c:formatCode="0.00%">
                  <c:v>0.0787853447910271</c:v>
                </c:pt>
                <c:pt idx="15" c:formatCode="0.00%">
                  <c:v>0.01373705623635</c:v>
                </c:pt>
                <c:pt idx="16" c:formatCode="0.00%">
                  <c:v>0.0127808197715979</c:v>
                </c:pt>
                <c:pt idx="17" c:formatCode="0.00%">
                  <c:v>0.00427585898248059</c:v>
                </c:pt>
                <c:pt idx="18" c:formatCode="0.00%">
                  <c:v>-5.98752521214077e-17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ft'!$C$28:$U$28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0.999950497541817</c:v>
                </c:pt>
                <c:pt idx="2" c:formatCode="0.00%">
                  <c:v>0.995651209641736</c:v>
                </c:pt>
                <c:pt idx="3" c:formatCode="0.00%">
                  <c:v>0.96097328452096</c:v>
                </c:pt>
                <c:pt idx="4" c:formatCode="0.00%">
                  <c:v>0.953780955762572</c:v>
                </c:pt>
                <c:pt idx="5" c:formatCode="0.00%">
                  <c:v>0.879120572519357</c:v>
                </c:pt>
                <c:pt idx="6" c:formatCode="0.00%">
                  <c:v>0.198719023952452</c:v>
                </c:pt>
                <c:pt idx="7" c:formatCode="0.00%">
                  <c:v>0.153786260698901</c:v>
                </c:pt>
                <c:pt idx="8" c:formatCode="0.00%">
                  <c:v>0.146593931940514</c:v>
                </c:pt>
                <c:pt idx="9" c:formatCode="0.00%">
                  <c:v>0.144740952794086</c:v>
                </c:pt>
                <c:pt idx="10" c:formatCode="0.00%">
                  <c:v>0.140797375584415</c:v>
                </c:pt>
                <c:pt idx="11" c:formatCode="0.00%">
                  <c:v>0.140747873126232</c:v>
                </c:pt>
                <c:pt idx="12" c:formatCode="0.00%">
                  <c:v>0.136448585226151</c:v>
                </c:pt>
                <c:pt idx="13" c:formatCode="0.00%">
                  <c:v>0.101770660105375</c:v>
                </c:pt>
                <c:pt idx="14" c:formatCode="0.00%">
                  <c:v>0.0772477022342085</c:v>
                </c:pt>
                <c:pt idx="15" c:formatCode="0.00%">
                  <c:v>0.00686133964067162</c:v>
                </c:pt>
                <c:pt idx="16" c:formatCode="0.00%">
                  <c:v>0.00586375775212282</c:v>
                </c:pt>
                <c:pt idx="17" c:formatCode="0.00%">
                  <c:v>0.00394357720967078</c:v>
                </c:pt>
                <c:pt idx="18" c:formatCode="0.00%">
                  <c:v>-8.75810718561845e-17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ft'!$C$34:$U$34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0.99996201637696</c:v>
                </c:pt>
                <c:pt idx="2" c:formatCode="0.00%">
                  <c:v>0.996662817598367</c:v>
                </c:pt>
                <c:pt idx="3" c:formatCode="0.00%">
                  <c:v>0.97063141130757</c:v>
                </c:pt>
                <c:pt idx="4" c:formatCode="0.00%">
                  <c:v>0.965558992043825</c:v>
                </c:pt>
                <c:pt idx="5" c:formatCode="0.00%">
                  <c:v>0.913168657874002</c:v>
                </c:pt>
                <c:pt idx="6" c:formatCode="0.00%">
                  <c:v>0.145170746569579</c:v>
                </c:pt>
                <c:pt idx="7" c:formatCode="0.00%">
                  <c:v>0.115592844259751</c:v>
                </c:pt>
                <c:pt idx="8" c:formatCode="0.00%">
                  <c:v>0.110520424996006</c:v>
                </c:pt>
                <c:pt idx="9" c:formatCode="0.00%">
                  <c:v>0.109678280364315</c:v>
                </c:pt>
                <c:pt idx="10" c:formatCode="0.00%">
                  <c:v>0.10665204988347</c:v>
                </c:pt>
                <c:pt idx="11" c:formatCode="0.00%">
                  <c:v>0.10661406626043</c:v>
                </c:pt>
                <c:pt idx="12" c:formatCode="0.00%">
                  <c:v>0.103314867481837</c:v>
                </c:pt>
                <c:pt idx="13" c:formatCode="0.00%">
                  <c:v>0.0772834611910405</c:v>
                </c:pt>
                <c:pt idx="14" c:formatCode="0.00%">
                  <c:v>0.0592821047536577</c:v>
                </c:pt>
                <c:pt idx="15" c:formatCode="0.00%">
                  <c:v>0.00485705946093971</c:v>
                </c:pt>
                <c:pt idx="16" c:formatCode="0.00%">
                  <c:v>0.00391993742207278</c:v>
                </c:pt>
                <c:pt idx="17" c:formatCode="0.00%">
                  <c:v>0.00302623048084458</c:v>
                </c:pt>
                <c:pt idx="18" c:formatCode="0.00%">
                  <c:v>-1.17139702381884e-17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ft'!$C$38:$U$38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0.999958363296929</c:v>
                </c:pt>
                <c:pt idx="2" c:formatCode="0.00%">
                  <c:v>0.996342252158621</c:v>
                </c:pt>
                <c:pt idx="3" c:formatCode="0.00%">
                  <c:v>0.96219230642446</c:v>
                </c:pt>
                <c:pt idx="4" c:formatCode="0.00%">
                  <c:v>0.955129778615193</c:v>
                </c:pt>
                <c:pt idx="5" c:formatCode="0.00%">
                  <c:v>0.889553990027326</c:v>
                </c:pt>
                <c:pt idx="6" c:formatCode="0.00%">
                  <c:v>0.17750596440791</c:v>
                </c:pt>
                <c:pt idx="7" c:formatCode="0.00%">
                  <c:v>0.136933925779569</c:v>
                </c:pt>
                <c:pt idx="8" c:formatCode="0.00%">
                  <c:v>0.129871397970302</c:v>
                </c:pt>
                <c:pt idx="9" c:formatCode="0.00%">
                  <c:v>0.123330344964667</c:v>
                </c:pt>
                <c:pt idx="10" c:formatCode="0.00%">
                  <c:v>0.120013420432446</c:v>
                </c:pt>
                <c:pt idx="11" c:formatCode="0.00%">
                  <c:v>0.119971783729375</c:v>
                </c:pt>
                <c:pt idx="12" c:formatCode="0.00%">
                  <c:v>0.116355672591067</c:v>
                </c:pt>
                <c:pt idx="13" c:formatCode="0.00%">
                  <c:v>0.0822057268569059</c:v>
                </c:pt>
                <c:pt idx="14" c:formatCode="0.00%">
                  <c:v>0.0611163847983613</c:v>
                </c:pt>
                <c:pt idx="15" c:formatCode="0.00%">
                  <c:v>0.010656286612242</c:v>
                </c:pt>
                <c:pt idx="16" c:formatCode="0.00%">
                  <c:v>0.0099145025165701</c:v>
                </c:pt>
                <c:pt idx="17" c:formatCode="0.00%">
                  <c:v>0.00331692453222056</c:v>
                </c:pt>
                <c:pt idx="18" c:formatCode="0.00%">
                  <c:v>-4.64472035790039e-17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ft'!$C$42:$U$42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0.999962293273073</c:v>
                </c:pt>
                <c:pt idx="2" c:formatCode="0.00%">
                  <c:v>0.996687464491251</c:v>
                </c:pt>
                <c:pt idx="3" c:formatCode="0.00%">
                  <c:v>0.970272795383547</c:v>
                </c:pt>
                <c:pt idx="4" c:formatCode="0.00%">
                  <c:v>0.964794296205614</c:v>
                </c:pt>
                <c:pt idx="5" c:formatCode="0.00%">
                  <c:v>0.907924419707659</c:v>
                </c:pt>
                <c:pt idx="6" c:formatCode="0.00%">
                  <c:v>0.151367108753718</c:v>
                </c:pt>
                <c:pt idx="7" c:formatCode="0.00%">
                  <c:v>0.117141183491361</c:v>
                </c:pt>
                <c:pt idx="8" c:formatCode="0.00%">
                  <c:v>0.111662684313427</c:v>
                </c:pt>
                <c:pt idx="9" c:formatCode="0.00%">
                  <c:v>0.110251243725621</c:v>
                </c:pt>
                <c:pt idx="10" c:formatCode="0.00%">
                  <c:v>0.10724736483923</c:v>
                </c:pt>
                <c:pt idx="11" c:formatCode="0.00%">
                  <c:v>0.107209658112303</c:v>
                </c:pt>
                <c:pt idx="12" c:formatCode="0.00%">
                  <c:v>0.103934829330481</c:v>
                </c:pt>
                <c:pt idx="13" c:formatCode="0.00%">
                  <c:v>0.0775201602227771</c:v>
                </c:pt>
                <c:pt idx="14" c:formatCode="0.00%">
                  <c:v>0.0588406741966389</c:v>
                </c:pt>
                <c:pt idx="15" c:formatCode="0.00%">
                  <c:v>0.00522638005626606</c:v>
                </c:pt>
                <c:pt idx="16" c:formatCode="0.00%">
                  <c:v>0.00446650773397227</c:v>
                </c:pt>
                <c:pt idx="17" c:formatCode="0.00%">
                  <c:v>0.00300387888639069</c:v>
                </c:pt>
                <c:pt idx="18" c:formatCode="0.00%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316932156642964"/>
          <c:y val="0.03686724380570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ft'!$C$5:$U$5</c:f>
              <c:numCache>
                <c:formatCode>0.00_ </c:formatCode>
                <c:ptCount val="19"/>
                <c:pt idx="0">
                  <c:v>56.265254</c:v>
                </c:pt>
                <c:pt idx="1">
                  <c:v>56.261114</c:v>
                </c:pt>
                <c:pt idx="2">
                  <c:v>55.90152</c:v>
                </c:pt>
                <c:pt idx="3">
                  <c:v>53.064244</c:v>
                </c:pt>
                <c:pt idx="4">
                  <c:v>52.511379</c:v>
                </c:pt>
                <c:pt idx="5">
                  <c:v>46.801129</c:v>
                </c:pt>
                <c:pt idx="6">
                  <c:v>15.82279</c:v>
                </c:pt>
                <c:pt idx="7">
                  <c:v>12.598966</c:v>
                </c:pt>
                <c:pt idx="8">
                  <c:v>12.046101</c:v>
                </c:pt>
                <c:pt idx="9">
                  <c:v>11.954312</c:v>
                </c:pt>
                <c:pt idx="10">
                  <c:v>11.62447</c:v>
                </c:pt>
                <c:pt idx="11">
                  <c:v>11.62033</c:v>
                </c:pt>
                <c:pt idx="12">
                  <c:v>11.260736</c:v>
                </c:pt>
                <c:pt idx="13">
                  <c:v>8.42346</c:v>
                </c:pt>
                <c:pt idx="14">
                  <c:v>6.461414</c:v>
                </c:pt>
                <c:pt idx="15">
                  <c:v>0.529391999999999</c:v>
                </c:pt>
                <c:pt idx="16">
                  <c:v>0.427250999999999</c:v>
                </c:pt>
                <c:pt idx="17">
                  <c:v>0.329841999999999</c:v>
                </c:pt>
                <c:pt idx="18">
                  <c:v>-1.27675647831893e-15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ft'!$C$19:$U$19</c:f>
              <c:numCache>
                <c:formatCode>0.00_ </c:formatCode>
                <c:ptCount val="19"/>
                <c:pt idx="0">
                  <c:v>82.629798</c:v>
                </c:pt>
                <c:pt idx="1">
                  <c:v>82.625658</c:v>
                </c:pt>
                <c:pt idx="2">
                  <c:v>82.266064</c:v>
                </c:pt>
                <c:pt idx="3">
                  <c:v>79.428788</c:v>
                </c:pt>
                <c:pt idx="4">
                  <c:v>78.875923</c:v>
                </c:pt>
                <c:pt idx="5">
                  <c:v>73.165673</c:v>
                </c:pt>
                <c:pt idx="6">
                  <c:v>15.82279</c:v>
                </c:pt>
                <c:pt idx="7">
                  <c:v>12.598966</c:v>
                </c:pt>
                <c:pt idx="8">
                  <c:v>12.046101</c:v>
                </c:pt>
                <c:pt idx="9">
                  <c:v>11.954312</c:v>
                </c:pt>
                <c:pt idx="10">
                  <c:v>11.62447</c:v>
                </c:pt>
                <c:pt idx="11">
                  <c:v>11.62033</c:v>
                </c:pt>
                <c:pt idx="12">
                  <c:v>11.260736</c:v>
                </c:pt>
                <c:pt idx="13">
                  <c:v>8.42345999999998</c:v>
                </c:pt>
                <c:pt idx="14">
                  <c:v>6.46141399999998</c:v>
                </c:pt>
                <c:pt idx="15">
                  <c:v>0.529391999999985</c:v>
                </c:pt>
                <c:pt idx="16">
                  <c:v>0.427250999999985</c:v>
                </c:pt>
                <c:pt idx="17">
                  <c:v>0.329841999999985</c:v>
                </c:pt>
                <c:pt idx="18">
                  <c:v>-1.54876111935209e-14</c:v>
                </c:pt>
              </c:numCache>
            </c:numRef>
          </c:val>
          <c:smooth val="0"/>
        </c:ser>
        <c:ser>
          <c:idx val="6"/>
          <c:order val="2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ft'!$C$33:$U$33</c:f>
              <c:numCache>
                <c:formatCode>0.00_ </c:formatCode>
                <c:ptCount val="19"/>
                <c:pt idx="0">
                  <c:v>108.994342</c:v>
                </c:pt>
                <c:pt idx="1">
                  <c:v>108.990202</c:v>
                </c:pt>
                <c:pt idx="2">
                  <c:v>108.630608</c:v>
                </c:pt>
                <c:pt idx="3">
                  <c:v>105.793332</c:v>
                </c:pt>
                <c:pt idx="4">
                  <c:v>105.240467</c:v>
                </c:pt>
                <c:pt idx="5">
                  <c:v>99.530217</c:v>
                </c:pt>
                <c:pt idx="6">
                  <c:v>15.82279</c:v>
                </c:pt>
                <c:pt idx="7">
                  <c:v>12.598966</c:v>
                </c:pt>
                <c:pt idx="8">
                  <c:v>12.046101</c:v>
                </c:pt>
                <c:pt idx="9">
                  <c:v>11.954312</c:v>
                </c:pt>
                <c:pt idx="10">
                  <c:v>11.62447</c:v>
                </c:pt>
                <c:pt idx="11">
                  <c:v>11.62033</c:v>
                </c:pt>
                <c:pt idx="12">
                  <c:v>11.260736</c:v>
                </c:pt>
                <c:pt idx="13">
                  <c:v>8.42346</c:v>
                </c:pt>
                <c:pt idx="14">
                  <c:v>6.461414</c:v>
                </c:pt>
                <c:pt idx="15">
                  <c:v>0.529391999999999</c:v>
                </c:pt>
                <c:pt idx="16">
                  <c:v>0.427250999999999</c:v>
                </c:pt>
                <c:pt idx="17">
                  <c:v>0.329841999999999</c:v>
                </c:pt>
                <c:pt idx="18">
                  <c:v>-1.27675647831893e-15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ecd011d-cea1-4e41-8ba0-32eb9b9387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316932156642964"/>
          <c:y val="0.04035886391743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ft'!$C$9:$U$9</c:f>
              <c:numCache>
                <c:formatCode>0.00_ </c:formatCode>
                <c:ptCount val="19"/>
                <c:pt idx="0">
                  <c:v>41.522147</c:v>
                </c:pt>
                <c:pt idx="1">
                  <c:v>41.519012</c:v>
                </c:pt>
                <c:pt idx="2">
                  <c:v>41.24674</c:v>
                </c:pt>
                <c:pt idx="3">
                  <c:v>38.675449</c:v>
                </c:pt>
                <c:pt idx="4">
                  <c:v>38.143682</c:v>
                </c:pt>
                <c:pt idx="5">
                  <c:v>33.206209</c:v>
                </c:pt>
                <c:pt idx="6">
                  <c:v>13.36516</c:v>
                </c:pt>
                <c:pt idx="7">
                  <c:v>10.310323</c:v>
                </c:pt>
                <c:pt idx="8">
                  <c:v>9.77855599999999</c:v>
                </c:pt>
                <c:pt idx="9">
                  <c:v>9.28605299999999</c:v>
                </c:pt>
                <c:pt idx="10">
                  <c:v>9.03630799999999</c:v>
                </c:pt>
                <c:pt idx="11">
                  <c:v>9.03317299999999</c:v>
                </c:pt>
                <c:pt idx="12">
                  <c:v>8.76090099999999</c:v>
                </c:pt>
                <c:pt idx="13">
                  <c:v>6.18960999999999</c:v>
                </c:pt>
                <c:pt idx="14">
                  <c:v>4.60170599999999</c:v>
                </c:pt>
                <c:pt idx="15">
                  <c:v>0.802355999999993</c:v>
                </c:pt>
                <c:pt idx="16">
                  <c:v>0.746503999999993</c:v>
                </c:pt>
                <c:pt idx="17">
                  <c:v>0.249744999999993</c:v>
                </c:pt>
                <c:pt idx="18">
                  <c:v>-7.04991620636974e-15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ft'!$C$23:$U$23</c:f>
              <c:numCache>
                <c:formatCode>0.00_ </c:formatCode>
                <c:ptCount val="19"/>
                <c:pt idx="0">
                  <c:v>58.408147</c:v>
                </c:pt>
                <c:pt idx="1">
                  <c:v>58.405012</c:v>
                </c:pt>
                <c:pt idx="2">
                  <c:v>58.13274</c:v>
                </c:pt>
                <c:pt idx="3">
                  <c:v>55.561449</c:v>
                </c:pt>
                <c:pt idx="4">
                  <c:v>55.029682</c:v>
                </c:pt>
                <c:pt idx="5">
                  <c:v>50.092209</c:v>
                </c:pt>
                <c:pt idx="6">
                  <c:v>13.36516</c:v>
                </c:pt>
                <c:pt idx="7">
                  <c:v>10.310323</c:v>
                </c:pt>
                <c:pt idx="8">
                  <c:v>9.778556</c:v>
                </c:pt>
                <c:pt idx="9">
                  <c:v>9.286053</c:v>
                </c:pt>
                <c:pt idx="10">
                  <c:v>9.036308</c:v>
                </c:pt>
                <c:pt idx="11">
                  <c:v>9.033173</c:v>
                </c:pt>
                <c:pt idx="12">
                  <c:v>8.760901</c:v>
                </c:pt>
                <c:pt idx="13">
                  <c:v>6.18961</c:v>
                </c:pt>
                <c:pt idx="14">
                  <c:v>4.601706</c:v>
                </c:pt>
                <c:pt idx="15">
                  <c:v>0.802355999999997</c:v>
                </c:pt>
                <c:pt idx="16">
                  <c:v>0.746503999999997</c:v>
                </c:pt>
                <c:pt idx="17">
                  <c:v>0.249744999999996</c:v>
                </c:pt>
                <c:pt idx="18">
                  <c:v>-3.49720252756924e-15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ft'!$C$37:$U$37</c:f>
              <c:numCache>
                <c:formatCode>0.00_ </c:formatCode>
                <c:ptCount val="19"/>
                <c:pt idx="0">
                  <c:v>75.294146</c:v>
                </c:pt>
                <c:pt idx="1">
                  <c:v>75.291011</c:v>
                </c:pt>
                <c:pt idx="2">
                  <c:v>75.018739</c:v>
                </c:pt>
                <c:pt idx="3">
                  <c:v>72.447448</c:v>
                </c:pt>
                <c:pt idx="4">
                  <c:v>71.915681</c:v>
                </c:pt>
                <c:pt idx="5">
                  <c:v>66.978208</c:v>
                </c:pt>
                <c:pt idx="6">
                  <c:v>13.36516</c:v>
                </c:pt>
                <c:pt idx="7">
                  <c:v>10.310323</c:v>
                </c:pt>
                <c:pt idx="8">
                  <c:v>9.778556</c:v>
                </c:pt>
                <c:pt idx="9">
                  <c:v>9.286053</c:v>
                </c:pt>
                <c:pt idx="10">
                  <c:v>9.036308</c:v>
                </c:pt>
                <c:pt idx="11">
                  <c:v>9.033173</c:v>
                </c:pt>
                <c:pt idx="12">
                  <c:v>8.760901</c:v>
                </c:pt>
                <c:pt idx="13">
                  <c:v>6.18961</c:v>
                </c:pt>
                <c:pt idx="14">
                  <c:v>4.601706</c:v>
                </c:pt>
                <c:pt idx="15">
                  <c:v>0.802355999999997</c:v>
                </c:pt>
                <c:pt idx="16">
                  <c:v>0.746503999999997</c:v>
                </c:pt>
                <c:pt idx="17">
                  <c:v>0.249744999999996</c:v>
                </c:pt>
                <c:pt idx="18">
                  <c:v>-3.49720252756924e-15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216731a-88d7-4f09-b273-18cb4e8f95a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323135203027966"/>
          <c:y val="0.036886777344792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ft'!$C$13:$U$13</c:f>
              <c:numCache>
                <c:formatCode>0.00_ </c:formatCode>
                <c:ptCount val="19"/>
                <c:pt idx="0">
                  <c:v>57.92778</c:v>
                </c:pt>
                <c:pt idx="1">
                  <c:v>57.923607</c:v>
                </c:pt>
                <c:pt idx="2">
                  <c:v>57.561182</c:v>
                </c:pt>
                <c:pt idx="3">
                  <c:v>54.637873</c:v>
                </c:pt>
                <c:pt idx="4">
                  <c:v>54.031568</c:v>
                </c:pt>
                <c:pt idx="5">
                  <c:v>47.737784</c:v>
                </c:pt>
                <c:pt idx="6">
                  <c:v>16.751784</c:v>
                </c:pt>
                <c:pt idx="7">
                  <c:v>12.964004</c:v>
                </c:pt>
                <c:pt idx="8">
                  <c:v>12.357699</c:v>
                </c:pt>
                <c:pt idx="9">
                  <c:v>12.201495</c:v>
                </c:pt>
                <c:pt idx="10">
                  <c:v>11.869056</c:v>
                </c:pt>
                <c:pt idx="11">
                  <c:v>11.864883</c:v>
                </c:pt>
                <c:pt idx="12">
                  <c:v>11.502458</c:v>
                </c:pt>
                <c:pt idx="13">
                  <c:v>8.57914899999999</c:v>
                </c:pt>
                <c:pt idx="14">
                  <c:v>6.51189199999999</c:v>
                </c:pt>
                <c:pt idx="15">
                  <c:v>0.578402999999989</c:v>
                </c:pt>
                <c:pt idx="16">
                  <c:v>0.494307999999989</c:v>
                </c:pt>
                <c:pt idx="17">
                  <c:v>0.332438999999989</c:v>
                </c:pt>
                <c:pt idx="18">
                  <c:v>-1.09356967925578e-14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ft'!$C$27:$U$27</c:f>
              <c:numCache>
                <c:formatCode>0.00_ </c:formatCode>
                <c:ptCount val="19"/>
                <c:pt idx="0">
                  <c:v>84.298844</c:v>
                </c:pt>
                <c:pt idx="1">
                  <c:v>84.294671</c:v>
                </c:pt>
                <c:pt idx="2">
                  <c:v>83.932246</c:v>
                </c:pt>
                <c:pt idx="3">
                  <c:v>81.008937</c:v>
                </c:pt>
                <c:pt idx="4">
                  <c:v>80.402632</c:v>
                </c:pt>
                <c:pt idx="5">
                  <c:v>74.108848</c:v>
                </c:pt>
                <c:pt idx="6">
                  <c:v>16.751784</c:v>
                </c:pt>
                <c:pt idx="7">
                  <c:v>12.964004</c:v>
                </c:pt>
                <c:pt idx="8">
                  <c:v>12.357699</c:v>
                </c:pt>
                <c:pt idx="9">
                  <c:v>12.201495</c:v>
                </c:pt>
                <c:pt idx="10">
                  <c:v>11.869056</c:v>
                </c:pt>
                <c:pt idx="11">
                  <c:v>11.864883</c:v>
                </c:pt>
                <c:pt idx="12">
                  <c:v>11.502458</c:v>
                </c:pt>
                <c:pt idx="13">
                  <c:v>8.57914899999999</c:v>
                </c:pt>
                <c:pt idx="14">
                  <c:v>6.51189199999999</c:v>
                </c:pt>
                <c:pt idx="15">
                  <c:v>0.578402999999993</c:v>
                </c:pt>
                <c:pt idx="16">
                  <c:v>0.494307999999993</c:v>
                </c:pt>
                <c:pt idx="17">
                  <c:v>0.332438999999993</c:v>
                </c:pt>
                <c:pt idx="18">
                  <c:v>-7.38298311375729e-15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ft'!$C$41:$U$41</c:f>
              <c:numCache>
                <c:formatCode>0.00_ </c:formatCode>
                <c:ptCount val="19"/>
                <c:pt idx="0">
                  <c:v>110.669908</c:v>
                </c:pt>
                <c:pt idx="1">
                  <c:v>110.665735</c:v>
                </c:pt>
                <c:pt idx="2">
                  <c:v>110.30331</c:v>
                </c:pt>
                <c:pt idx="3">
                  <c:v>107.380001</c:v>
                </c:pt>
                <c:pt idx="4">
                  <c:v>106.773696</c:v>
                </c:pt>
                <c:pt idx="5">
                  <c:v>100.479912</c:v>
                </c:pt>
                <c:pt idx="6">
                  <c:v>16.751784</c:v>
                </c:pt>
                <c:pt idx="7">
                  <c:v>12.964004</c:v>
                </c:pt>
                <c:pt idx="8">
                  <c:v>12.357699</c:v>
                </c:pt>
                <c:pt idx="9">
                  <c:v>12.201495</c:v>
                </c:pt>
                <c:pt idx="10">
                  <c:v>11.869056</c:v>
                </c:pt>
                <c:pt idx="11">
                  <c:v>11.864883</c:v>
                </c:pt>
                <c:pt idx="12">
                  <c:v>11.502458</c:v>
                </c:pt>
                <c:pt idx="13">
                  <c:v>8.579149</c:v>
                </c:pt>
                <c:pt idx="14">
                  <c:v>6.511892</c:v>
                </c:pt>
                <c:pt idx="15">
                  <c:v>0.578403</c:v>
                </c:pt>
                <c:pt idx="16">
                  <c:v>0.494308</c:v>
                </c:pt>
                <c:pt idx="17">
                  <c:v>0.332439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eac998-5d0b-4cc9-9729-9a03873bd63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368689452260708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ft'!$C$6:$U$6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0.999926419953601</c:v>
                </c:pt>
                <c:pt idx="2" c:formatCode="0.00%">
                  <c:v>0.993535370870271</c:v>
                </c:pt>
                <c:pt idx="3" c:formatCode="0.00%">
                  <c:v>0.943108583496308</c:v>
                </c:pt>
                <c:pt idx="4" c:formatCode="0.00%">
                  <c:v>0.933282537034313</c:v>
                </c:pt>
                <c:pt idx="5" c:formatCode="0.00%">
                  <c:v>0.831794503229293</c:v>
                </c:pt>
                <c:pt idx="6" c:formatCode="0.00%">
                  <c:v>0.281217783181073</c:v>
                </c:pt>
                <c:pt idx="7" c:formatCode="0.00%">
                  <c:v>0.223920894412029</c:v>
                </c:pt>
                <c:pt idx="8" c:formatCode="0.00%">
                  <c:v>0.214094847950033</c:v>
                </c:pt>
                <c:pt idx="9" c:formatCode="0.00%">
                  <c:v>0.212463485901974</c:v>
                </c:pt>
                <c:pt idx="10" c:formatCode="0.00%">
                  <c:v>0.206601217867069</c:v>
                </c:pt>
                <c:pt idx="11" c:formatCode="0.00%">
                  <c:v>0.20652763782067</c:v>
                </c:pt>
                <c:pt idx="12" c:formatCode="0.00%">
                  <c:v>0.20013658873734</c:v>
                </c:pt>
                <c:pt idx="13" c:formatCode="0.00%">
                  <c:v>0.149709801363378</c:v>
                </c:pt>
                <c:pt idx="14" c:formatCode="0.00%">
                  <c:v>0.114838440078845</c:v>
                </c:pt>
                <c:pt idx="15" c:formatCode="0.00%">
                  <c:v>0.00940886181727712</c:v>
                </c:pt>
                <c:pt idx="16" c:formatCode="0.00%">
                  <c:v>0.00759351410730322</c:v>
                </c:pt>
                <c:pt idx="17" c:formatCode="0.00%">
                  <c:v>0.00586226803490479</c:v>
                </c:pt>
                <c:pt idx="18" c:formatCode="0.00%">
                  <c:v>-2.26917393515886e-17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ft'!$C$20:$U$20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0.999949897009309</c:v>
                </c:pt>
                <c:pt idx="2" c:formatCode="0.00%">
                  <c:v>0.99559802869178</c:v>
                </c:pt>
                <c:pt idx="3" c:formatCode="0.00%">
                  <c:v>0.961260827480178</c:v>
                </c:pt>
                <c:pt idx="4" c:formatCode="0.00%">
                  <c:v>0.954569960342878</c:v>
                </c:pt>
                <c:pt idx="5" c:formatCode="0.00%">
                  <c:v>0.885463534595595</c:v>
                </c:pt>
                <c:pt idx="6" c:formatCode="0.00%">
                  <c:v>0.191490120791533</c:v>
                </c:pt>
                <c:pt idx="7" c:formatCode="0.00%">
                  <c:v>0.152474849327357</c:v>
                </c:pt>
                <c:pt idx="8" c:formatCode="0.00%">
                  <c:v>0.145783982190057</c:v>
                </c:pt>
                <c:pt idx="9" c:formatCode="0.00%">
                  <c:v>0.144673135955143</c:v>
                </c:pt>
                <c:pt idx="10" c:formatCode="0.00%">
                  <c:v>0.140681331448977</c:v>
                </c:pt>
                <c:pt idx="11" c:formatCode="0.00%">
                  <c:v>0.140631228458286</c:v>
                </c:pt>
                <c:pt idx="12" c:formatCode="0.00%">
                  <c:v>0.136279360140757</c:v>
                </c:pt>
                <c:pt idx="13" c:formatCode="0.00%">
                  <c:v>0.101942158929155</c:v>
                </c:pt>
                <c:pt idx="14" c:formatCode="0.00%">
                  <c:v>0.0781971414234848</c:v>
                </c:pt>
                <c:pt idx="15" c:formatCode="0.00%">
                  <c:v>0.00640679286181947</c:v>
                </c:pt>
                <c:pt idx="16" c:formatCode="0.00%">
                  <c:v>0.00517066494583449</c:v>
                </c:pt>
                <c:pt idx="17" c:formatCode="0.00%">
                  <c:v>0.00399180450616598</c:v>
                </c:pt>
                <c:pt idx="18" c:formatCode="0.00%">
                  <c:v>-1.87433729337217e-16</c:v>
                </c:pt>
              </c:numCache>
            </c:numRef>
          </c:val>
          <c:smooth val="0"/>
        </c:ser>
        <c:ser>
          <c:idx val="6"/>
          <c:order val="2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ft'!$C$34:$U$34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0.99996201637696</c:v>
                </c:pt>
                <c:pt idx="2" c:formatCode="0.00%">
                  <c:v>0.996662817598367</c:v>
                </c:pt>
                <c:pt idx="3" c:formatCode="0.00%">
                  <c:v>0.97063141130757</c:v>
                </c:pt>
                <c:pt idx="4" c:formatCode="0.00%">
                  <c:v>0.965558992043825</c:v>
                </c:pt>
                <c:pt idx="5" c:formatCode="0.00%">
                  <c:v>0.913168657874002</c:v>
                </c:pt>
                <c:pt idx="6" c:formatCode="0.00%">
                  <c:v>0.145170746569579</c:v>
                </c:pt>
                <c:pt idx="7" c:formatCode="0.00%">
                  <c:v>0.115592844259751</c:v>
                </c:pt>
                <c:pt idx="8" c:formatCode="0.00%">
                  <c:v>0.110520424996006</c:v>
                </c:pt>
                <c:pt idx="9" c:formatCode="0.00%">
                  <c:v>0.109678280364315</c:v>
                </c:pt>
                <c:pt idx="10" c:formatCode="0.00%">
                  <c:v>0.10665204988347</c:v>
                </c:pt>
                <c:pt idx="11" c:formatCode="0.00%">
                  <c:v>0.10661406626043</c:v>
                </c:pt>
                <c:pt idx="12" c:formatCode="0.00%">
                  <c:v>0.103314867481837</c:v>
                </c:pt>
                <c:pt idx="13" c:formatCode="0.00%">
                  <c:v>0.0772834611910405</c:v>
                </c:pt>
                <c:pt idx="14" c:formatCode="0.00%">
                  <c:v>0.0592821047536577</c:v>
                </c:pt>
                <c:pt idx="15" c:formatCode="0.00%">
                  <c:v>0.00485705946093971</c:v>
                </c:pt>
                <c:pt idx="16" c:formatCode="0.00%">
                  <c:v>0.00391993742207278</c:v>
                </c:pt>
                <c:pt idx="17" c:formatCode="0.00%">
                  <c:v>0.00302623048084458</c:v>
                </c:pt>
                <c:pt idx="18" c:formatCode="0.00%">
                  <c:v>-1.17139702381884e-17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069b61-3103-404f-9d8b-a97f7ea37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364169599677438"/>
          <c:y val="0.071147837521101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ft'!$C$10:$U$10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0.999924498123857</c:v>
                </c:pt>
                <c:pt idx="2" c:formatCode="0.00%">
                  <c:v>0.993367226410523</c:v>
                </c:pt>
                <c:pt idx="3" c:formatCode="0.00%">
                  <c:v>0.931441454604936</c:v>
                </c:pt>
                <c:pt idx="4" c:formatCode="0.00%">
                  <c:v>0.918634626480177</c:v>
                </c:pt>
                <c:pt idx="5" c:formatCode="0.00%">
                  <c:v>0.799722832251425</c:v>
                </c:pt>
                <c:pt idx="6" c:formatCode="0.00%">
                  <c:v>0.321880272713258</c:v>
                </c:pt>
                <c:pt idx="7" c:formatCode="0.00%">
                  <c:v>0.248309004830603</c:v>
                </c:pt>
                <c:pt idx="8" c:formatCode="0.00%">
                  <c:v>0.235502176705843</c:v>
                </c:pt>
                <c:pt idx="9" c:formatCode="0.00%">
                  <c:v>0.223640964423155</c:v>
                </c:pt>
                <c:pt idx="10" c:formatCode="0.00%">
                  <c:v>0.217626222459065</c:v>
                </c:pt>
                <c:pt idx="11" c:formatCode="0.00%">
                  <c:v>0.217550720582922</c:v>
                </c:pt>
                <c:pt idx="12" c:formatCode="0.00%">
                  <c:v>0.210993448869587</c:v>
                </c:pt>
                <c:pt idx="13" c:formatCode="0.00%">
                  <c:v>0.149067677064001</c:v>
                </c:pt>
                <c:pt idx="14" c:formatCode="0.00%">
                  <c:v>0.110825338583768</c:v>
                </c:pt>
                <c:pt idx="15" c:formatCode="0.00%">
                  <c:v>0.0193235672519534</c:v>
                </c:pt>
                <c:pt idx="16" c:formatCode="0.00%">
                  <c:v>0.0179784537634818</c:v>
                </c:pt>
                <c:pt idx="17" c:formatCode="0.00%">
                  <c:v>0.0060147419640895</c:v>
                </c:pt>
                <c:pt idx="18" c:formatCode="0.00%">
                  <c:v>-1.69786890026899e-16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ft'!$C$24:$U$24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0.99994632598086</c:v>
                </c:pt>
                <c:pt idx="2" c:formatCode="0.00%">
                  <c:v>0.995284784501039</c:v>
                </c:pt>
                <c:pt idx="3" c:formatCode="0.00%">
                  <c:v>0.951261970354923</c:v>
                </c:pt>
                <c:pt idx="4" c:formatCode="0.00%">
                  <c:v>0.942157641124961</c:v>
                </c:pt>
                <c:pt idx="5" c:formatCode="0.00%">
                  <c:v>0.857623663356415</c:v>
                </c:pt>
                <c:pt idx="6" c:formatCode="0.00%">
                  <c:v>0.228823557782102</c:v>
                </c:pt>
                <c:pt idx="7" c:formatCode="0.00%">
                  <c:v>0.176522001288622</c:v>
                </c:pt>
                <c:pt idx="8" c:formatCode="0.00%">
                  <c:v>0.16741767205866</c:v>
                </c:pt>
                <c:pt idx="9" c:formatCode="0.00%">
                  <c:v>0.158985577816738</c:v>
                </c:pt>
                <c:pt idx="10" c:formatCode="0.00%">
                  <c:v>0.154709718834258</c:v>
                </c:pt>
                <c:pt idx="11" c:formatCode="0.00%">
                  <c:v>0.154656044815118</c:v>
                </c:pt>
                <c:pt idx="12" c:formatCode="0.00%">
                  <c:v>0.149994503335297</c:v>
                </c:pt>
                <c:pt idx="13" c:formatCode="0.00%">
                  <c:v>0.105971689189181</c:v>
                </c:pt>
                <c:pt idx="14" c:formatCode="0.00%">
                  <c:v>0.0787853447910271</c:v>
                </c:pt>
                <c:pt idx="15" c:formatCode="0.00%">
                  <c:v>0.01373705623635</c:v>
                </c:pt>
                <c:pt idx="16" c:formatCode="0.00%">
                  <c:v>0.0127808197715979</c:v>
                </c:pt>
                <c:pt idx="17" c:formatCode="0.00%">
                  <c:v>0.00427585898248059</c:v>
                </c:pt>
                <c:pt idx="18" c:formatCode="0.00%">
                  <c:v>-5.98752521214077e-17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ft'!$C$38:$U$38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0.999958363296929</c:v>
                </c:pt>
                <c:pt idx="2" c:formatCode="0.00%">
                  <c:v>0.996342252158621</c:v>
                </c:pt>
                <c:pt idx="3" c:formatCode="0.00%">
                  <c:v>0.96219230642446</c:v>
                </c:pt>
                <c:pt idx="4" c:formatCode="0.00%">
                  <c:v>0.955129778615193</c:v>
                </c:pt>
                <c:pt idx="5" c:formatCode="0.00%">
                  <c:v>0.889553990027326</c:v>
                </c:pt>
                <c:pt idx="6" c:formatCode="0.00%">
                  <c:v>0.17750596440791</c:v>
                </c:pt>
                <c:pt idx="7" c:formatCode="0.00%">
                  <c:v>0.136933925779569</c:v>
                </c:pt>
                <c:pt idx="8" c:formatCode="0.00%">
                  <c:v>0.129871397970302</c:v>
                </c:pt>
                <c:pt idx="9" c:formatCode="0.00%">
                  <c:v>0.123330344964667</c:v>
                </c:pt>
                <c:pt idx="10" c:formatCode="0.00%">
                  <c:v>0.120013420432446</c:v>
                </c:pt>
                <c:pt idx="11" c:formatCode="0.00%">
                  <c:v>0.119971783729375</c:v>
                </c:pt>
                <c:pt idx="12" c:formatCode="0.00%">
                  <c:v>0.116355672591067</c:v>
                </c:pt>
                <c:pt idx="13" c:formatCode="0.00%">
                  <c:v>0.0822057268569059</c:v>
                </c:pt>
                <c:pt idx="14" c:formatCode="0.00%">
                  <c:v>0.0611163847983613</c:v>
                </c:pt>
                <c:pt idx="15" c:formatCode="0.00%">
                  <c:v>0.010656286612242</c:v>
                </c:pt>
                <c:pt idx="16" c:formatCode="0.00%">
                  <c:v>0.0099145025165701</c:v>
                </c:pt>
                <c:pt idx="17" c:formatCode="0.00%">
                  <c:v>0.00331692453222056</c:v>
                </c:pt>
                <c:pt idx="18" c:formatCode="0.00%">
                  <c:v>-4.64472035790039e-17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248d575-79aa-40d0-af53-ac62cdd9f9b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371749044778613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ft'!$C$14:$U$14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0.999927962024438</c:v>
                </c:pt>
                <c:pt idx="2" c:formatCode="0.00%">
                  <c:v>0.993671464710023</c:v>
                </c:pt>
                <c:pt idx="3" c:formatCode="0.00%">
                  <c:v>0.943206748126719</c:v>
                </c:pt>
                <c:pt idx="4" c:formatCode="0.00%">
                  <c:v>0.932740180963261</c:v>
                </c:pt>
                <c:pt idx="5" c:formatCode="0.00%">
                  <c:v>0.82409137722868</c:v>
                </c:pt>
                <c:pt idx="6" c:formatCode="0.00%">
                  <c:v>0.289183945940963</c:v>
                </c:pt>
                <c:pt idx="7" c:formatCode="0.00%">
                  <c:v>0.223795974919115</c:v>
                </c:pt>
                <c:pt idx="8" c:formatCode="0.00%">
                  <c:v>0.213329407755657</c:v>
                </c:pt>
                <c:pt idx="9" c:formatCode="0.00%">
                  <c:v>0.210632877697022</c:v>
                </c:pt>
                <c:pt idx="10" c:formatCode="0.00%">
                  <c:v>0.204894024939329</c:v>
                </c:pt>
                <c:pt idx="11" c:formatCode="0.00%">
                  <c:v>0.204821986963767</c:v>
                </c:pt>
                <c:pt idx="12" c:formatCode="0.00%">
                  <c:v>0.198565489649353</c:v>
                </c:pt>
                <c:pt idx="13" c:formatCode="0.00%">
                  <c:v>0.148100773066049</c:v>
                </c:pt>
                <c:pt idx="14" c:formatCode="0.00%">
                  <c:v>0.112413974780321</c:v>
                </c:pt>
                <c:pt idx="15" c:formatCode="0.00%">
                  <c:v>0.00998489843732988</c:v>
                </c:pt>
                <c:pt idx="16" c:formatCode="0.00%">
                  <c:v>0.00853317700074108</c:v>
                </c:pt>
                <c:pt idx="17" c:formatCode="0.00%">
                  <c:v>0.00573885275769223</c:v>
                </c:pt>
                <c:pt idx="18" c:formatCode="0.00%">
                  <c:v>-1.88781562016666e-16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ft'!$C$28:$U$28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0.999950497541817</c:v>
                </c:pt>
                <c:pt idx="2" c:formatCode="0.00%">
                  <c:v>0.995651209641736</c:v>
                </c:pt>
                <c:pt idx="3" c:formatCode="0.00%">
                  <c:v>0.96097328452096</c:v>
                </c:pt>
                <c:pt idx="4" c:formatCode="0.00%">
                  <c:v>0.953780955762572</c:v>
                </c:pt>
                <c:pt idx="5" c:formatCode="0.00%">
                  <c:v>0.879120572519357</c:v>
                </c:pt>
                <c:pt idx="6" c:formatCode="0.00%">
                  <c:v>0.198719023952452</c:v>
                </c:pt>
                <c:pt idx="7" c:formatCode="0.00%">
                  <c:v>0.153786260698901</c:v>
                </c:pt>
                <c:pt idx="8" c:formatCode="0.00%">
                  <c:v>0.146593931940514</c:v>
                </c:pt>
                <c:pt idx="9" c:formatCode="0.00%">
                  <c:v>0.144740952794086</c:v>
                </c:pt>
                <c:pt idx="10" c:formatCode="0.00%">
                  <c:v>0.140797375584415</c:v>
                </c:pt>
                <c:pt idx="11" c:formatCode="0.00%">
                  <c:v>0.140747873126232</c:v>
                </c:pt>
                <c:pt idx="12" c:formatCode="0.00%">
                  <c:v>0.136448585226151</c:v>
                </c:pt>
                <c:pt idx="13" c:formatCode="0.00%">
                  <c:v>0.101770660105375</c:v>
                </c:pt>
                <c:pt idx="14" c:formatCode="0.00%">
                  <c:v>0.0772477022342085</c:v>
                </c:pt>
                <c:pt idx="15" c:formatCode="0.00%">
                  <c:v>0.00686133964067162</c:v>
                </c:pt>
                <c:pt idx="16" c:formatCode="0.00%">
                  <c:v>0.00586375775212282</c:v>
                </c:pt>
                <c:pt idx="17" c:formatCode="0.00%">
                  <c:v>0.00394357720967078</c:v>
                </c:pt>
                <c:pt idx="18" c:formatCode="0.00%">
                  <c:v>-8.75810718561845e-17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ft'!$C$42:$U$42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0.999962293273073</c:v>
                </c:pt>
                <c:pt idx="2" c:formatCode="0.00%">
                  <c:v>0.996687464491251</c:v>
                </c:pt>
                <c:pt idx="3" c:formatCode="0.00%">
                  <c:v>0.970272795383547</c:v>
                </c:pt>
                <c:pt idx="4" c:formatCode="0.00%">
                  <c:v>0.964794296205614</c:v>
                </c:pt>
                <c:pt idx="5" c:formatCode="0.00%">
                  <c:v>0.907924419707659</c:v>
                </c:pt>
                <c:pt idx="6" c:formatCode="0.00%">
                  <c:v>0.151367108753718</c:v>
                </c:pt>
                <c:pt idx="7" c:formatCode="0.00%">
                  <c:v>0.117141183491361</c:v>
                </c:pt>
                <c:pt idx="8" c:formatCode="0.00%">
                  <c:v>0.111662684313427</c:v>
                </c:pt>
                <c:pt idx="9" c:formatCode="0.00%">
                  <c:v>0.110251243725621</c:v>
                </c:pt>
                <c:pt idx="10" c:formatCode="0.00%">
                  <c:v>0.10724736483923</c:v>
                </c:pt>
                <c:pt idx="11" c:formatCode="0.00%">
                  <c:v>0.107209658112303</c:v>
                </c:pt>
                <c:pt idx="12" c:formatCode="0.00%">
                  <c:v>0.103934829330481</c:v>
                </c:pt>
                <c:pt idx="13" c:formatCode="0.00%">
                  <c:v>0.0775201602227771</c:v>
                </c:pt>
                <c:pt idx="14" c:formatCode="0.00%">
                  <c:v>0.0588406741966389</c:v>
                </c:pt>
                <c:pt idx="15" c:formatCode="0.00%">
                  <c:v>0.00522638005626606</c:v>
                </c:pt>
                <c:pt idx="16" c:formatCode="0.00%">
                  <c:v>0.00446650773397227</c:v>
                </c:pt>
                <c:pt idx="17" c:formatCode="0.00%">
                  <c:v>0.00300387888639069</c:v>
                </c:pt>
                <c:pt idx="18" c:formatCode="0.00%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64eb42d-5a2e-41bf-a6c1-7084db90e32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'1500 ft'!#REF!</c:f>
              <c:numCache>
                <c:ptCount val="0"/>
              </c:numCache>
            </c:numRef>
          </c:cat>
          <c:val>
            <c:numRef>
              <c:f>'1500 ft'!#REF!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strRef>
              <c:f>'1500 ft'!#REF!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'1500 ft'!#REF!</c:f>
              <c:numCache>
                <c:ptCount val="0"/>
              </c:numCache>
            </c:numRef>
          </c:cat>
          <c:val>
            <c:numRef>
              <c:f>'1500 ft'!#REF!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strRef>
              <c:f>'1500 ft'!#REF!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'1500 ft'!#REF!</c:f>
              <c:numCache>
                <c:ptCount val="0"/>
              </c:numCache>
            </c:numRef>
          </c:cat>
          <c:val>
            <c:numRef>
              <c:f>'1500 ft'!#REF!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'3000 ft'!#REF!</c:f>
              <c:numCache>
                <c:ptCount val="0"/>
              </c:numCache>
            </c:numRef>
          </c:cat>
          <c:val>
            <c:numRef>
              <c:f>'3000 ft'!#REF!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strRef>
              <c:f>'3000 ft'!#REF!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'3000 ft'!#REF!</c:f>
              <c:numCache>
                <c:ptCount val="0"/>
              </c:numCache>
            </c:numRef>
          </c:cat>
          <c:val>
            <c:numRef>
              <c:f>'3000 ft'!#REF!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strRef>
              <c:f>'3000 ft'!#REF!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'3000 ft'!#REF!</c:f>
              <c:numCache>
                <c:ptCount val="0"/>
              </c:numCache>
            </c:numRef>
          </c:cat>
          <c:val>
            <c:numRef>
              <c:f>'3000 ft'!#REF!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739775</xdr:colOff>
      <xdr:row>46</xdr:row>
      <xdr:rowOff>62230</xdr:rowOff>
    </xdr:from>
    <xdr:to>
      <xdr:col>14</xdr:col>
      <xdr:colOff>466090</xdr:colOff>
      <xdr:row>74</xdr:row>
      <xdr:rowOff>176530</xdr:rowOff>
    </xdr:to>
    <xdr:graphicFrame>
      <xdr:nvGraphicFramePr>
        <xdr:cNvPr id="6" name="Chart 5"/>
        <xdr:cNvGraphicFramePr/>
      </xdr:nvGraphicFramePr>
      <xdr:xfrm>
        <a:off x="4999355" y="847471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1054735</xdr:colOff>
      <xdr:row>46</xdr:row>
      <xdr:rowOff>74930</xdr:rowOff>
    </xdr:from>
    <xdr:to>
      <xdr:col>20</xdr:col>
      <xdr:colOff>1070610</xdr:colOff>
      <xdr:row>74</xdr:row>
      <xdr:rowOff>151130</xdr:rowOff>
    </xdr:to>
    <xdr:graphicFrame>
      <xdr:nvGraphicFramePr>
        <xdr:cNvPr id="7" name="Chart 6"/>
        <xdr:cNvGraphicFramePr/>
      </xdr:nvGraphicFramePr>
      <xdr:xfrm>
        <a:off x="14785975" y="848741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676275</xdr:colOff>
      <xdr:row>76</xdr:row>
      <xdr:rowOff>113030</xdr:rowOff>
    </xdr:from>
    <xdr:to>
      <xdr:col>14</xdr:col>
      <xdr:colOff>402590</xdr:colOff>
      <xdr:row>105</xdr:row>
      <xdr:rowOff>44450</xdr:rowOff>
    </xdr:to>
    <xdr:graphicFrame>
      <xdr:nvGraphicFramePr>
        <xdr:cNvPr id="8" name="Chart 7"/>
        <xdr:cNvGraphicFramePr/>
      </xdr:nvGraphicFramePr>
      <xdr:xfrm>
        <a:off x="4935855" y="1401191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727075</xdr:colOff>
      <xdr:row>107</xdr:row>
      <xdr:rowOff>7620</xdr:rowOff>
    </xdr:from>
    <xdr:to>
      <xdr:col>14</xdr:col>
      <xdr:colOff>453390</xdr:colOff>
      <xdr:row>135</xdr:row>
      <xdr:rowOff>121920</xdr:rowOff>
    </xdr:to>
    <xdr:graphicFrame>
      <xdr:nvGraphicFramePr>
        <xdr:cNvPr id="9" name="Chart 8"/>
        <xdr:cNvGraphicFramePr/>
      </xdr:nvGraphicFramePr>
      <xdr:xfrm>
        <a:off x="4986655" y="1957578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720725</xdr:colOff>
      <xdr:row>137</xdr:row>
      <xdr:rowOff>39370</xdr:rowOff>
    </xdr:from>
    <xdr:to>
      <xdr:col>14</xdr:col>
      <xdr:colOff>447040</xdr:colOff>
      <xdr:row>165</xdr:row>
      <xdr:rowOff>153670</xdr:rowOff>
    </xdr:to>
    <xdr:graphicFrame>
      <xdr:nvGraphicFramePr>
        <xdr:cNvPr id="10" name="Chart 9"/>
        <xdr:cNvGraphicFramePr/>
      </xdr:nvGraphicFramePr>
      <xdr:xfrm>
        <a:off x="4980305" y="2509393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1086485</xdr:colOff>
      <xdr:row>76</xdr:row>
      <xdr:rowOff>152400</xdr:rowOff>
    </xdr:from>
    <xdr:to>
      <xdr:col>20</xdr:col>
      <xdr:colOff>1102360</xdr:colOff>
      <xdr:row>105</xdr:row>
      <xdr:rowOff>45720</xdr:rowOff>
    </xdr:to>
    <xdr:graphicFrame>
      <xdr:nvGraphicFramePr>
        <xdr:cNvPr id="11" name="Chart 10"/>
        <xdr:cNvGraphicFramePr/>
      </xdr:nvGraphicFramePr>
      <xdr:xfrm>
        <a:off x="14817725" y="1405128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1156335</xdr:colOff>
      <xdr:row>107</xdr:row>
      <xdr:rowOff>20320</xdr:rowOff>
    </xdr:from>
    <xdr:to>
      <xdr:col>20</xdr:col>
      <xdr:colOff>1172210</xdr:colOff>
      <xdr:row>135</xdr:row>
      <xdr:rowOff>96520</xdr:rowOff>
    </xdr:to>
    <xdr:graphicFrame>
      <xdr:nvGraphicFramePr>
        <xdr:cNvPr id="12" name="Chart 11"/>
        <xdr:cNvGraphicFramePr/>
      </xdr:nvGraphicFramePr>
      <xdr:xfrm>
        <a:off x="14887575" y="1958848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1092835</xdr:colOff>
      <xdr:row>137</xdr:row>
      <xdr:rowOff>109220</xdr:rowOff>
    </xdr:from>
    <xdr:to>
      <xdr:col>20</xdr:col>
      <xdr:colOff>1108710</xdr:colOff>
      <xdr:row>166</xdr:row>
      <xdr:rowOff>2540</xdr:rowOff>
    </xdr:to>
    <xdr:graphicFrame>
      <xdr:nvGraphicFramePr>
        <xdr:cNvPr id="13" name="Chart 12"/>
        <xdr:cNvGraphicFramePr/>
      </xdr:nvGraphicFramePr>
      <xdr:xfrm>
        <a:off x="14824075" y="2516378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118110</xdr:colOff>
      <xdr:row>14</xdr:row>
      <xdr:rowOff>33020</xdr:rowOff>
    </xdr:from>
    <xdr:to>
      <xdr:col>10</xdr:col>
      <xdr:colOff>233680</xdr:colOff>
      <xdr:row>39</xdr:row>
      <xdr:rowOff>139065</xdr:rowOff>
    </xdr:to>
    <xdr:graphicFrame>
      <xdr:nvGraphicFramePr>
        <xdr:cNvPr id="2" name="Chart 1"/>
        <xdr:cNvGraphicFramePr/>
      </xdr:nvGraphicFramePr>
      <xdr:xfrm>
        <a:off x="118110" y="2593340"/>
        <a:ext cx="8747125" cy="4678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453390</xdr:colOff>
      <xdr:row>14</xdr:row>
      <xdr:rowOff>29845</xdr:rowOff>
    </xdr:from>
    <xdr:to>
      <xdr:col>25</xdr:col>
      <xdr:colOff>56515</xdr:colOff>
      <xdr:row>40</xdr:row>
      <xdr:rowOff>6985</xdr:rowOff>
    </xdr:to>
    <xdr:graphicFrame>
      <xdr:nvGraphicFramePr>
        <xdr:cNvPr id="3" name="Chart 2"/>
        <xdr:cNvGraphicFramePr/>
      </xdr:nvGraphicFramePr>
      <xdr:xfrm>
        <a:off x="9084945" y="259016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zoomScale="70" zoomScaleNormal="70" workbookViewId="0">
      <selection activeCell="Q44" sqref="Q44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2:20">
      <c r="B1" s="2" t="s">
        <v>0</v>
      </c>
      <c r="C1" s="2">
        <v>30</v>
      </c>
      <c r="D1" s="2">
        <v>6</v>
      </c>
      <c r="E1" s="2">
        <v>15</v>
      </c>
      <c r="F1" s="2">
        <v>18</v>
      </c>
      <c r="G1" s="2">
        <v>72</v>
      </c>
      <c r="H1" s="2">
        <v>558</v>
      </c>
      <c r="I1" s="2">
        <v>72</v>
      </c>
      <c r="J1" s="2">
        <v>18</v>
      </c>
      <c r="K1" s="2">
        <v>15</v>
      </c>
      <c r="L1" s="2">
        <v>6</v>
      </c>
      <c r="M1" s="2">
        <v>30</v>
      </c>
      <c r="N1" s="2">
        <v>6</v>
      </c>
      <c r="O1" s="2">
        <v>15</v>
      </c>
      <c r="P1" s="2">
        <v>12</v>
      </c>
      <c r="Q1" s="2">
        <v>112</v>
      </c>
      <c r="R1" s="2">
        <v>12</v>
      </c>
      <c r="S1" s="2">
        <v>15</v>
      </c>
      <c r="T1" s="2">
        <v>6</v>
      </c>
    </row>
    <row r="2" spans="3:20"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</row>
    <row r="3" spans="1:20">
      <c r="A3" s="4" t="s">
        <v>19</v>
      </c>
      <c r="B3" s="2" t="s">
        <v>20</v>
      </c>
      <c r="C3" s="13">
        <v>0.00414</v>
      </c>
      <c r="D3" s="13">
        <v>0.187235</v>
      </c>
      <c r="E3" s="13">
        <v>2.104751</v>
      </c>
      <c r="F3" s="13">
        <v>0.55039</v>
      </c>
      <c r="G3" s="13">
        <v>3.460097</v>
      </c>
      <c r="H3" s="13">
        <v>41.341488</v>
      </c>
      <c r="I3" s="13">
        <v>0.980656</v>
      </c>
      <c r="J3" s="13">
        <v>0.55039</v>
      </c>
      <c r="K3" s="13">
        <v>0.1567</v>
      </c>
      <c r="L3" s="13">
        <v>0.157483</v>
      </c>
      <c r="M3" s="13">
        <v>0.00414</v>
      </c>
      <c r="N3" s="13">
        <v>0.187235</v>
      </c>
      <c r="O3" s="13">
        <v>2.104751</v>
      </c>
      <c r="P3" s="13">
        <v>1.585685</v>
      </c>
      <c r="Q3" s="13">
        <v>8.297933</v>
      </c>
      <c r="R3" s="13">
        <v>0.180616</v>
      </c>
      <c r="S3" s="13">
        <v>0.155519</v>
      </c>
      <c r="T3" s="14">
        <v>0.157483</v>
      </c>
    </row>
    <row r="4" s="8" customFormat="1" spans="1:20">
      <c r="A4" s="4"/>
      <c r="B4" s="8" t="s">
        <v>21</v>
      </c>
      <c r="C4" s="13">
        <v>0.003135</v>
      </c>
      <c r="D4" s="13">
        <v>0.141768</v>
      </c>
      <c r="E4" s="13">
        <v>1.805163</v>
      </c>
      <c r="F4" s="13">
        <v>0.530053</v>
      </c>
      <c r="G4" s="13">
        <v>2.927872</v>
      </c>
      <c r="H4" s="13">
        <v>26.022308</v>
      </c>
      <c r="I4" s="13">
        <v>1.050524</v>
      </c>
      <c r="J4" s="13">
        <v>0.530053</v>
      </c>
      <c r="K4" s="13">
        <v>0.074229</v>
      </c>
      <c r="L4" s="13">
        <v>0.119241</v>
      </c>
      <c r="M4" s="13">
        <v>0.003135</v>
      </c>
      <c r="N4" s="13">
        <v>0.141768</v>
      </c>
      <c r="O4" s="13">
        <v>1.805163</v>
      </c>
      <c r="P4" s="13">
        <v>1.25196</v>
      </c>
      <c r="Q4" s="13">
        <v>5.223116</v>
      </c>
      <c r="R4" s="13">
        <v>0.125976</v>
      </c>
      <c r="S4" s="13">
        <v>0.073335</v>
      </c>
      <c r="T4" s="14">
        <v>0.119241</v>
      </c>
    </row>
    <row r="5" s="8" customFormat="1" spans="1:20">
      <c r="A5" s="4"/>
      <c r="B5" s="8" t="s">
        <v>22</v>
      </c>
      <c r="C5" s="13">
        <v>0.004173</v>
      </c>
      <c r="D5" s="13">
        <v>0.188709</v>
      </c>
      <c r="E5" s="13">
        <v>2.153167</v>
      </c>
      <c r="F5" s="13">
        <v>0.603786</v>
      </c>
      <c r="G5" s="13">
        <v>3.756457</v>
      </c>
      <c r="H5" s="13">
        <v>41.05615</v>
      </c>
      <c r="I5" s="13">
        <v>1.257493</v>
      </c>
      <c r="J5" s="13">
        <v>0.603786</v>
      </c>
      <c r="K5" s="13">
        <v>0.151246</v>
      </c>
      <c r="L5" s="13">
        <v>0.158723</v>
      </c>
      <c r="M5" s="13">
        <v>0.004173</v>
      </c>
      <c r="N5" s="13">
        <v>0.188709</v>
      </c>
      <c r="O5" s="13">
        <v>2.153167</v>
      </c>
      <c r="P5" s="13">
        <v>1.643024</v>
      </c>
      <c r="Q5" s="13">
        <v>8.240661</v>
      </c>
      <c r="R5" s="13">
        <v>0.172619</v>
      </c>
      <c r="S5" s="13">
        <v>0.150057</v>
      </c>
      <c r="T5" s="14">
        <v>0.158723</v>
      </c>
    </row>
    <row r="6" customFormat="1" spans="2:20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="2" customFormat="1" spans="1:20">
      <c r="A7" s="4" t="s">
        <v>23</v>
      </c>
      <c r="B7" s="2" t="s">
        <v>20</v>
      </c>
      <c r="C7" s="13">
        <v>0.00414</v>
      </c>
      <c r="D7" s="13">
        <v>0.187235</v>
      </c>
      <c r="E7" s="13">
        <v>2.104751</v>
      </c>
      <c r="F7" s="13">
        <v>0.55039</v>
      </c>
      <c r="G7" s="13">
        <v>3.460097</v>
      </c>
      <c r="H7" s="13">
        <v>68.013416</v>
      </c>
      <c r="I7" s="13">
        <v>0.980656</v>
      </c>
      <c r="J7" s="13">
        <v>0.55039</v>
      </c>
      <c r="K7" s="13">
        <v>0.1567</v>
      </c>
      <c r="L7" s="13">
        <v>0.157483</v>
      </c>
      <c r="M7" s="13">
        <v>0.00414</v>
      </c>
      <c r="N7" s="13">
        <v>0.187235</v>
      </c>
      <c r="O7" s="13">
        <v>2.104751</v>
      </c>
      <c r="P7" s="13">
        <v>1.585685</v>
      </c>
      <c r="Q7" s="13">
        <v>8.297933</v>
      </c>
      <c r="R7" s="13">
        <v>0.180616</v>
      </c>
      <c r="S7" s="13">
        <v>0.155519</v>
      </c>
      <c r="T7" s="14">
        <v>0.157483</v>
      </c>
    </row>
    <row r="8" s="8" customFormat="1" spans="1:20">
      <c r="A8" s="4"/>
      <c r="B8" s="8" t="s">
        <v>21</v>
      </c>
      <c r="C8" s="13">
        <v>0.003135</v>
      </c>
      <c r="D8" s="13">
        <v>0.141768</v>
      </c>
      <c r="E8" s="13">
        <v>1.805163</v>
      </c>
      <c r="F8" s="13">
        <v>0.530053</v>
      </c>
      <c r="G8" s="13">
        <v>2.927872</v>
      </c>
      <c r="H8" s="13">
        <v>42.810893</v>
      </c>
      <c r="I8" s="13">
        <v>1.050524</v>
      </c>
      <c r="J8" s="13">
        <v>0.530053</v>
      </c>
      <c r="K8" s="13">
        <v>0.074229</v>
      </c>
      <c r="L8" s="13">
        <v>0.119241</v>
      </c>
      <c r="M8" s="13">
        <v>0.003135</v>
      </c>
      <c r="N8" s="13">
        <v>0.141768</v>
      </c>
      <c r="O8" s="13">
        <v>1.805163</v>
      </c>
      <c r="P8" s="13">
        <v>1.25196</v>
      </c>
      <c r="Q8" s="13">
        <v>5.223116</v>
      </c>
      <c r="R8" s="13">
        <v>0.125976</v>
      </c>
      <c r="S8" s="13">
        <v>0.073335</v>
      </c>
      <c r="T8" s="14">
        <v>0.119241</v>
      </c>
    </row>
    <row r="9" s="8" customFormat="1" spans="1:20">
      <c r="A9" s="4"/>
      <c r="B9" s="8" t="s">
        <v>22</v>
      </c>
      <c r="C9" s="13">
        <v>0.004173</v>
      </c>
      <c r="D9" s="13">
        <v>0.188709</v>
      </c>
      <c r="E9" s="13">
        <v>2.153167</v>
      </c>
      <c r="F9" s="13">
        <v>0.603786</v>
      </c>
      <c r="G9" s="13">
        <v>3.756457</v>
      </c>
      <c r="H9" s="13">
        <v>67.543989</v>
      </c>
      <c r="I9" s="13">
        <v>1.257493</v>
      </c>
      <c r="J9" s="13">
        <v>0.603786</v>
      </c>
      <c r="K9" s="13">
        <v>0.151246</v>
      </c>
      <c r="L9" s="13">
        <v>0.158723</v>
      </c>
      <c r="M9" s="13">
        <v>0.004173</v>
      </c>
      <c r="N9" s="13">
        <v>0.188709</v>
      </c>
      <c r="O9" s="13">
        <v>2.153167</v>
      </c>
      <c r="P9" s="13">
        <v>1.643024</v>
      </c>
      <c r="Q9" s="13">
        <v>8.240661</v>
      </c>
      <c r="R9" s="13">
        <v>0.172619</v>
      </c>
      <c r="S9" s="13">
        <v>0.150057</v>
      </c>
      <c r="T9" s="14">
        <v>0.158723</v>
      </c>
    </row>
    <row r="11" s="2" customFormat="1" spans="1:20">
      <c r="A11" s="4" t="s">
        <v>24</v>
      </c>
      <c r="B11" s="2" t="s">
        <v>20</v>
      </c>
      <c r="C11" s="13">
        <v>0.00414</v>
      </c>
      <c r="D11" s="13">
        <v>0.187235</v>
      </c>
      <c r="E11" s="13">
        <v>2.104751</v>
      </c>
      <c r="F11" s="13">
        <v>0.55039</v>
      </c>
      <c r="G11" s="13">
        <v>3.460097</v>
      </c>
      <c r="H11" s="13">
        <v>94.685344</v>
      </c>
      <c r="I11" s="13">
        <v>0.980656</v>
      </c>
      <c r="J11" s="13">
        <v>0.55039</v>
      </c>
      <c r="K11" s="13">
        <v>0.1567</v>
      </c>
      <c r="L11" s="13">
        <v>0.157483</v>
      </c>
      <c r="M11" s="13">
        <v>0.00414</v>
      </c>
      <c r="N11" s="13">
        <v>0.187235</v>
      </c>
      <c r="O11" s="13">
        <v>2.104751</v>
      </c>
      <c r="P11" s="13">
        <v>1.585685</v>
      </c>
      <c r="Q11" s="13">
        <v>8.297933</v>
      </c>
      <c r="R11" s="13">
        <v>0.180616</v>
      </c>
      <c r="S11" s="13">
        <v>0.155519</v>
      </c>
      <c r="T11" s="14">
        <v>0.157483</v>
      </c>
    </row>
    <row r="12" s="8" customFormat="1" spans="1:20">
      <c r="A12" s="4"/>
      <c r="B12" s="8" t="s">
        <v>21</v>
      </c>
      <c r="C12" s="13">
        <v>0.003135</v>
      </c>
      <c r="D12" s="13">
        <v>0.141768</v>
      </c>
      <c r="E12" s="13">
        <v>1.805163</v>
      </c>
      <c r="F12" s="13">
        <v>0.530053</v>
      </c>
      <c r="G12" s="13">
        <v>2.927872</v>
      </c>
      <c r="H12" s="13">
        <v>59.599479</v>
      </c>
      <c r="I12" s="13">
        <v>1.050524</v>
      </c>
      <c r="J12" s="13">
        <v>0.530053</v>
      </c>
      <c r="K12" s="13">
        <v>0.074229</v>
      </c>
      <c r="L12" s="13">
        <v>0.119241</v>
      </c>
      <c r="M12" s="13">
        <v>0.003135</v>
      </c>
      <c r="N12" s="13">
        <v>0.141768</v>
      </c>
      <c r="O12" s="13">
        <v>1.805163</v>
      </c>
      <c r="P12" s="13">
        <v>1.25196</v>
      </c>
      <c r="Q12" s="13">
        <v>5.223116</v>
      </c>
      <c r="R12" s="13">
        <v>0.125976</v>
      </c>
      <c r="S12" s="13">
        <v>0.073335</v>
      </c>
      <c r="T12" s="14">
        <v>0.119241</v>
      </c>
    </row>
    <row r="13" s="8" customFormat="1" spans="1:20">
      <c r="A13" s="4"/>
      <c r="B13" s="8" t="s">
        <v>22</v>
      </c>
      <c r="C13" s="13">
        <v>0.004173</v>
      </c>
      <c r="D13" s="13">
        <v>0.188709</v>
      </c>
      <c r="E13" s="13">
        <v>2.153167</v>
      </c>
      <c r="F13" s="13">
        <v>0.603786</v>
      </c>
      <c r="G13" s="13">
        <v>3.756457</v>
      </c>
      <c r="H13" s="13">
        <v>94.031828</v>
      </c>
      <c r="I13" s="13">
        <v>1.257493</v>
      </c>
      <c r="J13" s="13">
        <v>0.603786</v>
      </c>
      <c r="K13" s="13">
        <v>0.151246</v>
      </c>
      <c r="L13" s="13">
        <v>0.158723</v>
      </c>
      <c r="M13" s="13">
        <v>0.004173</v>
      </c>
      <c r="N13" s="13">
        <v>0.188709</v>
      </c>
      <c r="O13" s="13">
        <v>2.153167</v>
      </c>
      <c r="P13" s="13">
        <v>1.643024</v>
      </c>
      <c r="Q13" s="13">
        <v>8.240661</v>
      </c>
      <c r="R13" s="13">
        <v>0.172619</v>
      </c>
      <c r="S13" s="13">
        <v>0.150057</v>
      </c>
      <c r="T13" s="14">
        <v>0.158723</v>
      </c>
    </row>
    <row r="16" spans="1:3">
      <c r="A16" s="4" t="s">
        <v>19</v>
      </c>
      <c r="C16" s="2" t="s">
        <v>25</v>
      </c>
    </row>
    <row r="17" spans="2:3">
      <c r="B17" s="2" t="s">
        <v>20</v>
      </c>
      <c r="C17" s="5">
        <f>SUM(C3:T3)</f>
        <v>62.166692</v>
      </c>
    </row>
    <row r="18" spans="2:3">
      <c r="B18" s="8" t="s">
        <v>21</v>
      </c>
      <c r="C18" s="5">
        <f>SUM(C4:T4)</f>
        <v>41.94804</v>
      </c>
    </row>
    <row r="19" spans="2:3">
      <c r="B19" s="8" t="s">
        <v>22</v>
      </c>
      <c r="C19" s="5">
        <f>SUM(C5:T5)</f>
        <v>62.644823</v>
      </c>
    </row>
    <row r="20" spans="3:3">
      <c r="C20" s="5"/>
    </row>
    <row r="21" spans="3:3">
      <c r="C21" s="5"/>
    </row>
    <row r="22" spans="3:3">
      <c r="C22" s="5" t="s">
        <v>25</v>
      </c>
    </row>
    <row r="23" spans="1:3">
      <c r="A23" s="4" t="s">
        <v>23</v>
      </c>
      <c r="B23" s="2" t="s">
        <v>20</v>
      </c>
      <c r="C23" s="5">
        <f>SUM(C7:T7)</f>
        <v>88.83862</v>
      </c>
    </row>
    <row r="24" spans="2:3">
      <c r="B24" s="8" t="s">
        <v>21</v>
      </c>
      <c r="C24" s="5">
        <f>SUM(C8:T8)</f>
        <v>58.736625</v>
      </c>
    </row>
    <row r="25" spans="2:3">
      <c r="B25" s="8" t="s">
        <v>22</v>
      </c>
      <c r="C25" s="5">
        <f>SUM(C9:T9)</f>
        <v>89.132662</v>
      </c>
    </row>
    <row r="26" spans="3:3">
      <c r="C26" s="5"/>
    </row>
    <row r="27" spans="3:3">
      <c r="C27" s="5"/>
    </row>
    <row r="28" spans="3:3">
      <c r="C28" s="5" t="s">
        <v>25</v>
      </c>
    </row>
    <row r="29" spans="1:3">
      <c r="A29" s="4" t="s">
        <v>24</v>
      </c>
      <c r="B29" s="2" t="s">
        <v>20</v>
      </c>
      <c r="C29" s="5">
        <f>SUM(C11:T11)</f>
        <v>115.510548</v>
      </c>
    </row>
    <row r="30" spans="2:3">
      <c r="B30" s="8" t="s">
        <v>21</v>
      </c>
      <c r="C30" s="5">
        <f>SUM(C12:T12)</f>
        <v>75.525211</v>
      </c>
    </row>
    <row r="31" spans="2:3">
      <c r="B31" s="8" t="s">
        <v>22</v>
      </c>
      <c r="C31" s="5">
        <f>SUM(C13:T13)</f>
        <v>115.620501</v>
      </c>
    </row>
    <row r="32" spans="3:3">
      <c r="C32" s="5"/>
    </row>
    <row r="33" spans="3:3">
      <c r="C33" s="5"/>
    </row>
  </sheetData>
  <mergeCells count="3">
    <mergeCell ref="A3:A5"/>
    <mergeCell ref="A7:A9"/>
    <mergeCell ref="A11:A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6"/>
  <sheetViews>
    <sheetView tabSelected="1" zoomScale="40" zoomScaleNormal="40" zoomScalePageLayoutView="27" topLeftCell="F84" workbookViewId="0">
      <selection activeCell="Z117" sqref="Z117"/>
    </sheetView>
  </sheetViews>
  <sheetFormatPr defaultColWidth="9" defaultRowHeight="14.4"/>
  <cols>
    <col min="1" max="1" width="9" style="2"/>
    <col min="2" max="3" width="15.1111111111111" style="2" customWidth="1"/>
    <col min="4" max="4" width="11.1111111111111" style="2" customWidth="1"/>
    <col min="5" max="5" width="11.7777777777778" style="2" customWidth="1"/>
    <col min="6" max="6" width="15.4444444444444" style="2" customWidth="1"/>
    <col min="7" max="7" width="17.6666666666667" style="2" customWidth="1"/>
    <col min="8" max="8" width="16" style="2" customWidth="1"/>
    <col min="9" max="9" width="10.6666666666667" style="2" customWidth="1"/>
    <col min="10" max="10" width="18.8888888888889" style="2" customWidth="1"/>
    <col min="11" max="11" width="16.7777777777778" style="2" customWidth="1"/>
    <col min="12" max="12" width="18" style="2" customWidth="1"/>
    <col min="13" max="13" width="14.4444444444444" style="2" customWidth="1"/>
    <col min="14" max="14" width="10.2222222222222" style="2" customWidth="1"/>
    <col min="15" max="15" width="19.5555555555556" style="2" customWidth="1"/>
    <col min="16" max="16" width="23.1111111111111" style="2" customWidth="1"/>
    <col min="17" max="17" width="23.7777777777778" style="2" customWidth="1"/>
    <col min="18" max="18" width="14" style="2" customWidth="1"/>
    <col min="19" max="19" width="26.6666666666667" style="2" customWidth="1"/>
    <col min="20" max="20" width="25.7777777777778" style="2" customWidth="1"/>
    <col min="21" max="21" width="25.0925925925926" style="2" customWidth="1"/>
    <col min="22" max="24" width="14.5" style="2" customWidth="1"/>
    <col min="25" max="25" width="9" style="2"/>
    <col min="26" max="28" width="10.6666666666667" style="2"/>
    <col min="29" max="16384" width="9" style="2"/>
  </cols>
  <sheetData>
    <row r="1" spans="5:21">
      <c r="E1" s="2">
        <v>12</v>
      </c>
      <c r="F1" s="2">
        <v>30</v>
      </c>
      <c r="G1" s="2">
        <v>18</v>
      </c>
      <c r="H1" s="2">
        <v>144</v>
      </c>
      <c r="I1" s="2">
        <v>423</v>
      </c>
      <c r="J1" s="2">
        <v>144</v>
      </c>
      <c r="K1" s="2">
        <v>18</v>
      </c>
      <c r="L1" s="2">
        <v>30</v>
      </c>
      <c r="M1" s="2">
        <v>12</v>
      </c>
      <c r="N1" s="2">
        <v>30</v>
      </c>
      <c r="O1" s="2">
        <v>12</v>
      </c>
      <c r="P1" s="2">
        <v>30</v>
      </c>
      <c r="Q1" s="2">
        <v>24</v>
      </c>
      <c r="R1" s="2">
        <v>81</v>
      </c>
      <c r="S1" s="2">
        <v>24</v>
      </c>
      <c r="T1" s="2">
        <v>30</v>
      </c>
      <c r="U1" s="2">
        <v>12</v>
      </c>
    </row>
    <row r="2" spans="2:21">
      <c r="B2" s="2" t="s">
        <v>0</v>
      </c>
      <c r="C2" s="2">
        <v>0</v>
      </c>
      <c r="D2" s="2">
        <v>30</v>
      </c>
      <c r="E2" s="2">
        <f>D2+E1</f>
        <v>42</v>
      </c>
      <c r="F2" s="2">
        <f t="shared" ref="F2:U2" si="0">E2+F1</f>
        <v>72</v>
      </c>
      <c r="G2" s="2">
        <f t="shared" si="0"/>
        <v>90</v>
      </c>
      <c r="H2" s="2">
        <f t="shared" si="0"/>
        <v>234</v>
      </c>
      <c r="I2" s="2">
        <f t="shared" si="0"/>
        <v>657</v>
      </c>
      <c r="J2" s="2">
        <f t="shared" si="0"/>
        <v>801</v>
      </c>
      <c r="K2" s="2">
        <f t="shared" si="0"/>
        <v>819</v>
      </c>
      <c r="L2" s="2">
        <f t="shared" si="0"/>
        <v>849</v>
      </c>
      <c r="M2" s="2">
        <f t="shared" si="0"/>
        <v>861</v>
      </c>
      <c r="N2" s="2">
        <f t="shared" si="0"/>
        <v>891</v>
      </c>
      <c r="O2" s="2">
        <f t="shared" si="0"/>
        <v>903</v>
      </c>
      <c r="P2" s="2">
        <f t="shared" si="0"/>
        <v>933</v>
      </c>
      <c r="Q2" s="2">
        <f t="shared" si="0"/>
        <v>957</v>
      </c>
      <c r="R2" s="2">
        <f t="shared" si="0"/>
        <v>1038</v>
      </c>
      <c r="S2" s="2">
        <f t="shared" si="0"/>
        <v>1062</v>
      </c>
      <c r="T2" s="2">
        <f t="shared" si="0"/>
        <v>1092</v>
      </c>
      <c r="U2" s="2">
        <f t="shared" si="0"/>
        <v>1104</v>
      </c>
    </row>
    <row r="3" spans="3:21">
      <c r="C3" s="2" t="s">
        <v>26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</row>
    <row r="4" spans="1:21">
      <c r="A4" s="4" t="s">
        <v>19</v>
      </c>
      <c r="B4" s="2" t="s">
        <v>20</v>
      </c>
      <c r="D4" s="9">
        <v>0.00414</v>
      </c>
      <c r="E4" s="9">
        <v>0.359594</v>
      </c>
      <c r="F4" s="9">
        <v>2.837276</v>
      </c>
      <c r="G4" s="9">
        <v>0.552865</v>
      </c>
      <c r="H4" s="9">
        <v>5.71025</v>
      </c>
      <c r="I4" s="9">
        <v>30.978339</v>
      </c>
      <c r="J4" s="9">
        <v>3.223824</v>
      </c>
      <c r="K4" s="9">
        <v>0.552865</v>
      </c>
      <c r="L4" s="9">
        <v>0.091789</v>
      </c>
      <c r="M4" s="9">
        <v>0.329842</v>
      </c>
      <c r="N4" s="9">
        <v>0.00414</v>
      </c>
      <c r="O4" s="9">
        <v>0.359594</v>
      </c>
      <c r="P4" s="9">
        <v>2.837276</v>
      </c>
      <c r="Q4" s="9">
        <v>1.962046</v>
      </c>
      <c r="R4" s="9">
        <v>5.932022</v>
      </c>
      <c r="S4" s="9">
        <v>0.102141</v>
      </c>
      <c r="T4" s="9">
        <v>0.097409</v>
      </c>
      <c r="U4" s="9">
        <v>0.329842</v>
      </c>
    </row>
    <row r="5" s="8" customFormat="1" spans="1:21">
      <c r="A5" s="4"/>
      <c r="C5" s="9">
        <v>56.265254</v>
      </c>
      <c r="D5" s="9">
        <f>$C$50-D4</f>
        <v>56.261114</v>
      </c>
      <c r="E5" s="9">
        <f>D5-E4</f>
        <v>55.90152</v>
      </c>
      <c r="F5" s="9">
        <f t="shared" ref="F5:U5" si="1">E5-F4</f>
        <v>53.064244</v>
      </c>
      <c r="G5" s="9">
        <f t="shared" si="1"/>
        <v>52.511379</v>
      </c>
      <c r="H5" s="9">
        <f t="shared" si="1"/>
        <v>46.801129</v>
      </c>
      <c r="I5" s="9">
        <f t="shared" si="1"/>
        <v>15.82279</v>
      </c>
      <c r="J5" s="9">
        <f t="shared" si="1"/>
        <v>12.598966</v>
      </c>
      <c r="K5" s="9">
        <f t="shared" si="1"/>
        <v>12.046101</v>
      </c>
      <c r="L5" s="9">
        <f t="shared" si="1"/>
        <v>11.954312</v>
      </c>
      <c r="M5" s="9">
        <f t="shared" si="1"/>
        <v>11.62447</v>
      </c>
      <c r="N5" s="9">
        <f t="shared" si="1"/>
        <v>11.62033</v>
      </c>
      <c r="O5" s="9">
        <f t="shared" si="1"/>
        <v>11.260736</v>
      </c>
      <c r="P5" s="9">
        <f t="shared" si="1"/>
        <v>8.42346</v>
      </c>
      <c r="Q5" s="9">
        <f t="shared" si="1"/>
        <v>6.461414</v>
      </c>
      <c r="R5" s="9">
        <f t="shared" si="1"/>
        <v>0.529391999999999</v>
      </c>
      <c r="S5" s="9">
        <f t="shared" si="1"/>
        <v>0.427250999999999</v>
      </c>
      <c r="T5" s="9">
        <f t="shared" si="1"/>
        <v>0.329841999999999</v>
      </c>
      <c r="U5" s="9">
        <f t="shared" si="1"/>
        <v>-1.27675647831893e-15</v>
      </c>
    </row>
    <row r="6" s="8" customFormat="1" spans="1:21">
      <c r="A6" s="4"/>
      <c r="C6" s="10">
        <v>1</v>
      </c>
      <c r="D6" s="11">
        <f>D5/$C$50</f>
        <v>0.999926419953601</v>
      </c>
      <c r="E6" s="11">
        <f t="shared" ref="E6:U6" si="2">E5/$C$50</f>
        <v>0.993535370870271</v>
      </c>
      <c r="F6" s="11">
        <f t="shared" si="2"/>
        <v>0.943108583496308</v>
      </c>
      <c r="G6" s="11">
        <f t="shared" si="2"/>
        <v>0.933282537034313</v>
      </c>
      <c r="H6" s="11">
        <f t="shared" si="2"/>
        <v>0.831794503229293</v>
      </c>
      <c r="I6" s="11">
        <f t="shared" si="2"/>
        <v>0.281217783181073</v>
      </c>
      <c r="J6" s="11">
        <f t="shared" si="2"/>
        <v>0.223920894412029</v>
      </c>
      <c r="K6" s="11">
        <f t="shared" si="2"/>
        <v>0.214094847950033</v>
      </c>
      <c r="L6" s="11">
        <f t="shared" si="2"/>
        <v>0.212463485901974</v>
      </c>
      <c r="M6" s="11">
        <f t="shared" si="2"/>
        <v>0.206601217867069</v>
      </c>
      <c r="N6" s="11">
        <f t="shared" si="2"/>
        <v>0.20652763782067</v>
      </c>
      <c r="O6" s="11">
        <f t="shared" si="2"/>
        <v>0.20013658873734</v>
      </c>
      <c r="P6" s="11">
        <f t="shared" si="2"/>
        <v>0.149709801363378</v>
      </c>
      <c r="Q6" s="11">
        <f t="shared" si="2"/>
        <v>0.114838440078845</v>
      </c>
      <c r="R6" s="11">
        <f t="shared" si="2"/>
        <v>0.00940886181727712</v>
      </c>
      <c r="S6" s="11">
        <f t="shared" si="2"/>
        <v>0.00759351410730322</v>
      </c>
      <c r="T6" s="11">
        <f t="shared" si="2"/>
        <v>0.00586226803490479</v>
      </c>
      <c r="U6" s="11">
        <f t="shared" si="2"/>
        <v>-2.26917393515886e-17</v>
      </c>
    </row>
    <row r="7" s="8" customFormat="1" spans="1:21">
      <c r="A7" s="4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="8" customFormat="1" spans="1:21">
      <c r="A8" s="4"/>
      <c r="B8" s="8" t="s">
        <v>21</v>
      </c>
      <c r="D8" s="9">
        <v>0.003135</v>
      </c>
      <c r="E8" s="9">
        <v>0.272272</v>
      </c>
      <c r="F8" s="9">
        <v>2.571291</v>
      </c>
      <c r="G8" s="9">
        <v>0.531767</v>
      </c>
      <c r="H8" s="9">
        <v>4.937473</v>
      </c>
      <c r="I8" s="9">
        <v>19.841049</v>
      </c>
      <c r="J8" s="9">
        <v>3.054837</v>
      </c>
      <c r="K8" s="9">
        <v>0.531767</v>
      </c>
      <c r="L8" s="9">
        <v>0.492503</v>
      </c>
      <c r="M8" s="9">
        <v>0.249745</v>
      </c>
      <c r="N8" s="9">
        <v>0.003135</v>
      </c>
      <c r="O8" s="9">
        <v>0.272272</v>
      </c>
      <c r="P8" s="9">
        <v>2.571291</v>
      </c>
      <c r="Q8" s="9">
        <v>1.587904</v>
      </c>
      <c r="R8" s="9">
        <v>3.79935</v>
      </c>
      <c r="S8" s="9">
        <v>0.055852</v>
      </c>
      <c r="T8" s="9">
        <v>0.496759</v>
      </c>
      <c r="U8" s="9">
        <v>0.249745</v>
      </c>
    </row>
    <row r="9" s="8" customFormat="1" spans="1:21">
      <c r="A9" s="4"/>
      <c r="C9" s="9">
        <v>41.522147</v>
      </c>
      <c r="D9" s="9">
        <f>$C$51-D8</f>
        <v>41.519012</v>
      </c>
      <c r="E9" s="9">
        <f>D9-E8</f>
        <v>41.24674</v>
      </c>
      <c r="F9" s="9">
        <f t="shared" ref="F9:U9" si="3">E9-F8</f>
        <v>38.675449</v>
      </c>
      <c r="G9" s="9">
        <f t="shared" si="3"/>
        <v>38.143682</v>
      </c>
      <c r="H9" s="9">
        <f t="shared" si="3"/>
        <v>33.206209</v>
      </c>
      <c r="I9" s="9">
        <f t="shared" si="3"/>
        <v>13.36516</v>
      </c>
      <c r="J9" s="9">
        <f t="shared" si="3"/>
        <v>10.310323</v>
      </c>
      <c r="K9" s="9">
        <f t="shared" si="3"/>
        <v>9.77855599999999</v>
      </c>
      <c r="L9" s="9">
        <f t="shared" si="3"/>
        <v>9.28605299999999</v>
      </c>
      <c r="M9" s="9">
        <f t="shared" si="3"/>
        <v>9.03630799999999</v>
      </c>
      <c r="N9" s="9">
        <f t="shared" si="3"/>
        <v>9.03317299999999</v>
      </c>
      <c r="O9" s="9">
        <f t="shared" si="3"/>
        <v>8.76090099999999</v>
      </c>
      <c r="P9" s="9">
        <f t="shared" si="3"/>
        <v>6.18960999999999</v>
      </c>
      <c r="Q9" s="9">
        <f t="shared" si="3"/>
        <v>4.60170599999999</v>
      </c>
      <c r="R9" s="9">
        <f t="shared" si="3"/>
        <v>0.802355999999993</v>
      </c>
      <c r="S9" s="9">
        <f t="shared" si="3"/>
        <v>0.746503999999993</v>
      </c>
      <c r="T9" s="9">
        <f t="shared" si="3"/>
        <v>0.249744999999993</v>
      </c>
      <c r="U9" s="9">
        <f t="shared" si="3"/>
        <v>-7.04991620636974e-15</v>
      </c>
    </row>
    <row r="10" s="8" customFormat="1" spans="1:21">
      <c r="A10" s="4"/>
      <c r="C10" s="10">
        <v>1</v>
      </c>
      <c r="D10" s="11">
        <f>D9/$C$51</f>
        <v>0.999924498123857</v>
      </c>
      <c r="E10" s="11">
        <f t="shared" ref="E10:U10" si="4">E9/$C$51</f>
        <v>0.993367226410523</v>
      </c>
      <c r="F10" s="11">
        <f t="shared" si="4"/>
        <v>0.931441454604936</v>
      </c>
      <c r="G10" s="11">
        <f t="shared" si="4"/>
        <v>0.918634626480177</v>
      </c>
      <c r="H10" s="11">
        <f t="shared" si="4"/>
        <v>0.799722832251425</v>
      </c>
      <c r="I10" s="11">
        <f t="shared" si="4"/>
        <v>0.321880272713258</v>
      </c>
      <c r="J10" s="11">
        <f t="shared" si="4"/>
        <v>0.248309004830603</v>
      </c>
      <c r="K10" s="11">
        <f t="shared" si="4"/>
        <v>0.235502176705843</v>
      </c>
      <c r="L10" s="11">
        <f t="shared" si="4"/>
        <v>0.223640964423155</v>
      </c>
      <c r="M10" s="11">
        <f t="shared" si="4"/>
        <v>0.217626222459065</v>
      </c>
      <c r="N10" s="11">
        <f t="shared" si="4"/>
        <v>0.217550720582922</v>
      </c>
      <c r="O10" s="11">
        <f t="shared" si="4"/>
        <v>0.210993448869587</v>
      </c>
      <c r="P10" s="11">
        <f t="shared" si="4"/>
        <v>0.149067677064001</v>
      </c>
      <c r="Q10" s="11">
        <f t="shared" si="4"/>
        <v>0.110825338583768</v>
      </c>
      <c r="R10" s="11">
        <f t="shared" si="4"/>
        <v>0.0193235672519534</v>
      </c>
      <c r="S10" s="11">
        <f t="shared" si="4"/>
        <v>0.0179784537634818</v>
      </c>
      <c r="T10" s="11">
        <f t="shared" si="4"/>
        <v>0.0060147419640895</v>
      </c>
      <c r="U10" s="11">
        <f t="shared" si="4"/>
        <v>-1.69786890026899e-16</v>
      </c>
    </row>
    <row r="11" s="8" customFormat="1" spans="1:21">
      <c r="A11" s="4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="8" customFormat="1" spans="1:21">
      <c r="A12" s="4"/>
      <c r="B12" s="8" t="s">
        <v>22</v>
      </c>
      <c r="D12" s="9">
        <v>0.004173</v>
      </c>
      <c r="E12" s="9">
        <v>0.362425</v>
      </c>
      <c r="F12" s="9">
        <v>2.923309</v>
      </c>
      <c r="G12" s="9">
        <v>0.606305</v>
      </c>
      <c r="H12" s="9">
        <v>6.293784</v>
      </c>
      <c r="I12" s="9">
        <v>30.986</v>
      </c>
      <c r="J12" s="9">
        <v>3.78778</v>
      </c>
      <c r="K12" s="9">
        <v>0.606305</v>
      </c>
      <c r="L12" s="9">
        <v>0.156204</v>
      </c>
      <c r="M12" s="9">
        <v>0.332439</v>
      </c>
      <c r="N12" s="9">
        <v>0.004173</v>
      </c>
      <c r="O12" s="9">
        <v>0.362425</v>
      </c>
      <c r="P12" s="9">
        <v>2.923309</v>
      </c>
      <c r="Q12" s="9">
        <v>2.067257</v>
      </c>
      <c r="R12" s="9">
        <v>5.933489</v>
      </c>
      <c r="S12" s="9">
        <v>0.084095</v>
      </c>
      <c r="T12" s="9">
        <v>0.161869</v>
      </c>
      <c r="U12" s="9">
        <v>0.332439</v>
      </c>
    </row>
    <row r="13" customFormat="1" spans="1:21">
      <c r="A13" s="4"/>
      <c r="B13" s="2"/>
      <c r="C13" s="9">
        <v>57.92778</v>
      </c>
      <c r="D13" s="9">
        <f>$C$52-D12</f>
        <v>57.923607</v>
      </c>
      <c r="E13" s="9">
        <f>D13-E12</f>
        <v>57.561182</v>
      </c>
      <c r="F13" s="9">
        <f t="shared" ref="F13:U13" si="5">E13-F12</f>
        <v>54.637873</v>
      </c>
      <c r="G13" s="9">
        <f t="shared" si="5"/>
        <v>54.031568</v>
      </c>
      <c r="H13" s="9">
        <f t="shared" si="5"/>
        <v>47.737784</v>
      </c>
      <c r="I13" s="9">
        <f t="shared" si="5"/>
        <v>16.751784</v>
      </c>
      <c r="J13" s="9">
        <f t="shared" si="5"/>
        <v>12.964004</v>
      </c>
      <c r="K13" s="9">
        <f t="shared" si="5"/>
        <v>12.357699</v>
      </c>
      <c r="L13" s="9">
        <f t="shared" si="5"/>
        <v>12.201495</v>
      </c>
      <c r="M13" s="9">
        <f t="shared" si="5"/>
        <v>11.869056</v>
      </c>
      <c r="N13" s="9">
        <f t="shared" si="5"/>
        <v>11.864883</v>
      </c>
      <c r="O13" s="9">
        <f t="shared" si="5"/>
        <v>11.502458</v>
      </c>
      <c r="P13" s="9">
        <f t="shared" si="5"/>
        <v>8.57914899999999</v>
      </c>
      <c r="Q13" s="9">
        <f t="shared" si="5"/>
        <v>6.51189199999999</v>
      </c>
      <c r="R13" s="9">
        <f t="shared" si="5"/>
        <v>0.578402999999989</v>
      </c>
      <c r="S13" s="9">
        <f t="shared" si="5"/>
        <v>0.494307999999989</v>
      </c>
      <c r="T13" s="9">
        <f t="shared" si="5"/>
        <v>0.332438999999989</v>
      </c>
      <c r="U13" s="9">
        <f t="shared" si="5"/>
        <v>-1.09356967925578e-14</v>
      </c>
    </row>
    <row r="14" customFormat="1" spans="1:21">
      <c r="A14" s="4"/>
      <c r="B14" s="2"/>
      <c r="C14" s="10">
        <v>1</v>
      </c>
      <c r="D14" s="11">
        <f>D13/$C$52</f>
        <v>0.999927962024438</v>
      </c>
      <c r="E14" s="11">
        <f t="shared" ref="E14:U14" si="6">E13/$C$52</f>
        <v>0.993671464710023</v>
      </c>
      <c r="F14" s="11">
        <f t="shared" si="6"/>
        <v>0.943206748126719</v>
      </c>
      <c r="G14" s="11">
        <f t="shared" si="6"/>
        <v>0.932740180963261</v>
      </c>
      <c r="H14" s="11">
        <f t="shared" si="6"/>
        <v>0.82409137722868</v>
      </c>
      <c r="I14" s="11">
        <f t="shared" si="6"/>
        <v>0.289183945940963</v>
      </c>
      <c r="J14" s="11">
        <f t="shared" si="6"/>
        <v>0.223795974919115</v>
      </c>
      <c r="K14" s="11">
        <f t="shared" si="6"/>
        <v>0.213329407755657</v>
      </c>
      <c r="L14" s="11">
        <f t="shared" si="6"/>
        <v>0.210632877697022</v>
      </c>
      <c r="M14" s="11">
        <f t="shared" si="6"/>
        <v>0.204894024939329</v>
      </c>
      <c r="N14" s="11">
        <f t="shared" si="6"/>
        <v>0.204821986963767</v>
      </c>
      <c r="O14" s="11">
        <f t="shared" si="6"/>
        <v>0.198565489649353</v>
      </c>
      <c r="P14" s="11">
        <f t="shared" si="6"/>
        <v>0.148100773066049</v>
      </c>
      <c r="Q14" s="11">
        <f t="shared" si="6"/>
        <v>0.112413974780321</v>
      </c>
      <c r="R14" s="11">
        <f t="shared" si="6"/>
        <v>0.00998489843732988</v>
      </c>
      <c r="S14" s="11">
        <f t="shared" si="6"/>
        <v>0.00853317700074108</v>
      </c>
      <c r="T14" s="11">
        <f t="shared" si="6"/>
        <v>0.00573885275769223</v>
      </c>
      <c r="U14" s="11">
        <f t="shared" si="6"/>
        <v>-1.88781562016666e-16</v>
      </c>
    </row>
    <row r="15" customFormat="1" spans="2:21">
      <c r="B15" s="2"/>
      <c r="C15" s="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</row>
    <row r="16" customFormat="1" spans="2:21">
      <c r="B16" s="2"/>
      <c r="C16" s="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</row>
    <row r="17" customFormat="1" spans="2:21">
      <c r="B17" s="2" t="s">
        <v>27</v>
      </c>
      <c r="C17" s="2">
        <v>0</v>
      </c>
      <c r="D17" s="12">
        <v>30</v>
      </c>
      <c r="E17" s="12">
        <v>12</v>
      </c>
      <c r="F17" s="12">
        <v>30</v>
      </c>
      <c r="G17" s="12">
        <v>18</v>
      </c>
      <c r="H17" s="12">
        <v>144</v>
      </c>
      <c r="I17" s="12">
        <v>783</v>
      </c>
      <c r="J17" s="12">
        <v>144</v>
      </c>
      <c r="K17" s="12">
        <v>18</v>
      </c>
      <c r="L17" s="12">
        <v>30</v>
      </c>
      <c r="M17" s="12">
        <v>12</v>
      </c>
      <c r="N17" s="12">
        <v>30</v>
      </c>
      <c r="O17" s="12">
        <v>12</v>
      </c>
      <c r="P17" s="12">
        <v>30</v>
      </c>
      <c r="Q17" s="12">
        <v>24</v>
      </c>
      <c r="R17" s="12">
        <v>81</v>
      </c>
      <c r="S17" s="12">
        <v>24</v>
      </c>
      <c r="T17" s="12">
        <v>30</v>
      </c>
      <c r="U17" s="12">
        <v>12</v>
      </c>
    </row>
    <row r="18" s="2" customFormat="1" spans="1:21">
      <c r="A18" s="4" t="s">
        <v>23</v>
      </c>
      <c r="B18" s="2" t="s">
        <v>20</v>
      </c>
      <c r="D18" s="9">
        <v>0.00414</v>
      </c>
      <c r="E18" s="9">
        <v>0.359594</v>
      </c>
      <c r="F18" s="9">
        <v>2.837276</v>
      </c>
      <c r="G18" s="9">
        <v>0.552865</v>
      </c>
      <c r="H18" s="9">
        <v>5.71025</v>
      </c>
      <c r="I18" s="9">
        <v>57.342883</v>
      </c>
      <c r="J18" s="9">
        <v>3.223824</v>
      </c>
      <c r="K18" s="9">
        <v>0.552865</v>
      </c>
      <c r="L18" s="9">
        <v>0.091789</v>
      </c>
      <c r="M18" s="9">
        <v>0.329842</v>
      </c>
      <c r="N18" s="9">
        <v>0.00414</v>
      </c>
      <c r="O18" s="9">
        <v>0.359594</v>
      </c>
      <c r="P18" s="9">
        <v>2.837276</v>
      </c>
      <c r="Q18" s="9">
        <v>1.962046</v>
      </c>
      <c r="R18" s="9">
        <v>5.932022</v>
      </c>
      <c r="S18" s="9">
        <v>0.102141</v>
      </c>
      <c r="T18" s="9">
        <v>0.097409</v>
      </c>
      <c r="U18" s="9">
        <v>0.329842</v>
      </c>
    </row>
    <row r="19" s="8" customFormat="1" spans="1:21">
      <c r="A19" s="4"/>
      <c r="C19" s="12">
        <v>82.629798</v>
      </c>
      <c r="D19" s="9">
        <f>$C$56-D18</f>
        <v>82.625658</v>
      </c>
      <c r="E19" s="9">
        <f>D19-E18</f>
        <v>82.266064</v>
      </c>
      <c r="F19" s="9">
        <f t="shared" ref="F19:U19" si="7">E19-F18</f>
        <v>79.428788</v>
      </c>
      <c r="G19" s="9">
        <f t="shared" si="7"/>
        <v>78.875923</v>
      </c>
      <c r="H19" s="9">
        <f t="shared" si="7"/>
        <v>73.165673</v>
      </c>
      <c r="I19" s="9">
        <f t="shared" si="7"/>
        <v>15.82279</v>
      </c>
      <c r="J19" s="9">
        <f t="shared" si="7"/>
        <v>12.598966</v>
      </c>
      <c r="K19" s="9">
        <f t="shared" si="7"/>
        <v>12.046101</v>
      </c>
      <c r="L19" s="9">
        <f t="shared" si="7"/>
        <v>11.954312</v>
      </c>
      <c r="M19" s="9">
        <f t="shared" si="7"/>
        <v>11.62447</v>
      </c>
      <c r="N19" s="9">
        <f t="shared" si="7"/>
        <v>11.62033</v>
      </c>
      <c r="O19" s="9">
        <f t="shared" si="7"/>
        <v>11.260736</v>
      </c>
      <c r="P19" s="9">
        <f t="shared" si="7"/>
        <v>8.42345999999998</v>
      </c>
      <c r="Q19" s="9">
        <f t="shared" si="7"/>
        <v>6.46141399999998</v>
      </c>
      <c r="R19" s="9">
        <f t="shared" si="7"/>
        <v>0.529391999999985</v>
      </c>
      <c r="S19" s="9">
        <f t="shared" si="7"/>
        <v>0.427250999999985</v>
      </c>
      <c r="T19" s="9">
        <f t="shared" si="7"/>
        <v>0.329841999999985</v>
      </c>
      <c r="U19" s="9">
        <f t="shared" si="7"/>
        <v>-1.54876111935209e-14</v>
      </c>
    </row>
    <row r="20" s="8" customFormat="1" spans="1:21">
      <c r="A20" s="4"/>
      <c r="C20" s="10">
        <v>1</v>
      </c>
      <c r="D20" s="11">
        <f>D19/$C$56</f>
        <v>0.999949897009309</v>
      </c>
      <c r="E20" s="11">
        <f t="shared" ref="E20:U20" si="8">E19/$C$56</f>
        <v>0.99559802869178</v>
      </c>
      <c r="F20" s="11">
        <f t="shared" si="8"/>
        <v>0.961260827480178</v>
      </c>
      <c r="G20" s="11">
        <f t="shared" si="8"/>
        <v>0.954569960342878</v>
      </c>
      <c r="H20" s="11">
        <f t="shared" si="8"/>
        <v>0.885463534595595</v>
      </c>
      <c r="I20" s="11">
        <f t="shared" si="8"/>
        <v>0.191490120791533</v>
      </c>
      <c r="J20" s="11">
        <f t="shared" si="8"/>
        <v>0.152474849327357</v>
      </c>
      <c r="K20" s="11">
        <f t="shared" si="8"/>
        <v>0.145783982190057</v>
      </c>
      <c r="L20" s="11">
        <f t="shared" si="8"/>
        <v>0.144673135955143</v>
      </c>
      <c r="M20" s="11">
        <f t="shared" si="8"/>
        <v>0.140681331448977</v>
      </c>
      <c r="N20" s="11">
        <f t="shared" si="8"/>
        <v>0.140631228458286</v>
      </c>
      <c r="O20" s="11">
        <f t="shared" si="8"/>
        <v>0.136279360140757</v>
      </c>
      <c r="P20" s="11">
        <f t="shared" si="8"/>
        <v>0.101942158929155</v>
      </c>
      <c r="Q20" s="11">
        <f t="shared" si="8"/>
        <v>0.0781971414234848</v>
      </c>
      <c r="R20" s="11">
        <f t="shared" si="8"/>
        <v>0.00640679286181947</v>
      </c>
      <c r="S20" s="11">
        <f t="shared" si="8"/>
        <v>0.00517066494583449</v>
      </c>
      <c r="T20" s="11">
        <f t="shared" si="8"/>
        <v>0.00399180450616598</v>
      </c>
      <c r="U20" s="11">
        <f t="shared" si="8"/>
        <v>-1.87433729337217e-16</v>
      </c>
    </row>
    <row r="21" s="8" customFormat="1" spans="1:21">
      <c r="A21" s="4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s="8" customFormat="1" spans="1:21">
      <c r="A22" s="4"/>
      <c r="B22" s="8" t="s">
        <v>21</v>
      </c>
      <c r="D22" s="9">
        <v>0.003135</v>
      </c>
      <c r="E22" s="9">
        <v>0.272272</v>
      </c>
      <c r="F22" s="9">
        <v>2.571291</v>
      </c>
      <c r="G22" s="9">
        <v>0.531767</v>
      </c>
      <c r="H22" s="9">
        <v>4.937473</v>
      </c>
      <c r="I22" s="9">
        <v>36.727049</v>
      </c>
      <c r="J22" s="9">
        <v>3.054837</v>
      </c>
      <c r="K22" s="9">
        <v>0.531767</v>
      </c>
      <c r="L22" s="9">
        <v>0.492503</v>
      </c>
      <c r="M22" s="9">
        <v>0.249745</v>
      </c>
      <c r="N22" s="9">
        <v>0.003135</v>
      </c>
      <c r="O22" s="9">
        <v>0.272272</v>
      </c>
      <c r="P22" s="9">
        <v>2.571291</v>
      </c>
      <c r="Q22" s="9">
        <v>1.587904</v>
      </c>
      <c r="R22" s="9">
        <v>3.79935</v>
      </c>
      <c r="S22" s="9">
        <v>0.055852</v>
      </c>
      <c r="T22" s="9">
        <v>0.496759</v>
      </c>
      <c r="U22" s="9">
        <v>0.249745</v>
      </c>
    </row>
    <row r="23" s="8" customFormat="1" spans="1:21">
      <c r="A23" s="4"/>
      <c r="C23" s="12">
        <v>58.408147</v>
      </c>
      <c r="D23" s="9">
        <f>$C$57-D22</f>
        <v>58.405012</v>
      </c>
      <c r="E23" s="9">
        <f>D23-E22</f>
        <v>58.13274</v>
      </c>
      <c r="F23" s="9">
        <f t="shared" ref="F23:U23" si="9">E23-F22</f>
        <v>55.561449</v>
      </c>
      <c r="G23" s="9">
        <f t="shared" si="9"/>
        <v>55.029682</v>
      </c>
      <c r="H23" s="9">
        <f t="shared" si="9"/>
        <v>50.092209</v>
      </c>
      <c r="I23" s="9">
        <f t="shared" si="9"/>
        <v>13.36516</v>
      </c>
      <c r="J23" s="9">
        <f t="shared" si="9"/>
        <v>10.310323</v>
      </c>
      <c r="K23" s="9">
        <f t="shared" si="9"/>
        <v>9.778556</v>
      </c>
      <c r="L23" s="9">
        <f t="shared" si="9"/>
        <v>9.286053</v>
      </c>
      <c r="M23" s="9">
        <f t="shared" si="9"/>
        <v>9.036308</v>
      </c>
      <c r="N23" s="9">
        <f t="shared" si="9"/>
        <v>9.033173</v>
      </c>
      <c r="O23" s="9">
        <f t="shared" si="9"/>
        <v>8.760901</v>
      </c>
      <c r="P23" s="9">
        <f t="shared" si="9"/>
        <v>6.18961</v>
      </c>
      <c r="Q23" s="9">
        <f t="shared" si="9"/>
        <v>4.601706</v>
      </c>
      <c r="R23" s="9">
        <f t="shared" si="9"/>
        <v>0.802355999999997</v>
      </c>
      <c r="S23" s="9">
        <f t="shared" si="9"/>
        <v>0.746503999999997</v>
      </c>
      <c r="T23" s="9">
        <f t="shared" si="9"/>
        <v>0.249744999999996</v>
      </c>
      <c r="U23" s="9">
        <f t="shared" si="9"/>
        <v>-3.49720252756924e-15</v>
      </c>
    </row>
    <row r="24" s="8" customFormat="1" spans="1:21">
      <c r="A24" s="4"/>
      <c r="C24" s="10">
        <v>1</v>
      </c>
      <c r="D24" s="11">
        <f>D23/$C$57</f>
        <v>0.99994632598086</v>
      </c>
      <c r="E24" s="11">
        <f t="shared" ref="E24:U24" si="10">E23/$C$57</f>
        <v>0.995284784501039</v>
      </c>
      <c r="F24" s="11">
        <f t="shared" si="10"/>
        <v>0.951261970354923</v>
      </c>
      <c r="G24" s="11">
        <f t="shared" si="10"/>
        <v>0.942157641124961</v>
      </c>
      <c r="H24" s="11">
        <f t="shared" si="10"/>
        <v>0.857623663356415</v>
      </c>
      <c r="I24" s="11">
        <f t="shared" si="10"/>
        <v>0.228823557782102</v>
      </c>
      <c r="J24" s="11">
        <f t="shared" si="10"/>
        <v>0.176522001288622</v>
      </c>
      <c r="K24" s="11">
        <f t="shared" si="10"/>
        <v>0.16741767205866</v>
      </c>
      <c r="L24" s="11">
        <f t="shared" si="10"/>
        <v>0.158985577816738</v>
      </c>
      <c r="M24" s="11">
        <f t="shared" si="10"/>
        <v>0.154709718834258</v>
      </c>
      <c r="N24" s="11">
        <f t="shared" si="10"/>
        <v>0.154656044815118</v>
      </c>
      <c r="O24" s="11">
        <f t="shared" si="10"/>
        <v>0.149994503335297</v>
      </c>
      <c r="P24" s="11">
        <f t="shared" si="10"/>
        <v>0.105971689189181</v>
      </c>
      <c r="Q24" s="11">
        <f t="shared" si="10"/>
        <v>0.0787853447910271</v>
      </c>
      <c r="R24" s="11">
        <f t="shared" si="10"/>
        <v>0.01373705623635</v>
      </c>
      <c r="S24" s="11">
        <f t="shared" si="10"/>
        <v>0.0127808197715979</v>
      </c>
      <c r="T24" s="11">
        <f t="shared" si="10"/>
        <v>0.00427585898248059</v>
      </c>
      <c r="U24" s="11">
        <f t="shared" si="10"/>
        <v>-5.98752521214077e-17</v>
      </c>
    </row>
    <row r="25" s="8" customFormat="1" spans="1:21">
      <c r="A25" s="4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s="8" customFormat="1" spans="1:21">
      <c r="A26" s="4"/>
      <c r="B26" s="8" t="s">
        <v>22</v>
      </c>
      <c r="D26" s="9">
        <v>0.004173</v>
      </c>
      <c r="E26" s="9">
        <v>0.362425</v>
      </c>
      <c r="F26" s="9">
        <v>2.923309</v>
      </c>
      <c r="G26" s="9">
        <v>0.606305</v>
      </c>
      <c r="H26" s="9">
        <v>6.293784</v>
      </c>
      <c r="I26" s="9">
        <v>57.357064</v>
      </c>
      <c r="J26" s="9">
        <v>3.78778</v>
      </c>
      <c r="K26" s="9">
        <v>0.606305</v>
      </c>
      <c r="L26" s="9">
        <v>0.156204</v>
      </c>
      <c r="M26" s="9">
        <v>0.332439</v>
      </c>
      <c r="N26" s="9">
        <v>0.004173</v>
      </c>
      <c r="O26" s="9">
        <v>0.362425</v>
      </c>
      <c r="P26" s="9">
        <v>2.923309</v>
      </c>
      <c r="Q26" s="9">
        <v>2.067257</v>
      </c>
      <c r="R26" s="9">
        <v>5.933489</v>
      </c>
      <c r="S26" s="9">
        <v>0.084095</v>
      </c>
      <c r="T26" s="9">
        <v>0.161869</v>
      </c>
      <c r="U26" s="9">
        <v>0.332439</v>
      </c>
    </row>
    <row r="27" customFormat="1" spans="1:21">
      <c r="A27" s="4"/>
      <c r="B27" s="2"/>
      <c r="C27" s="12">
        <v>84.298844</v>
      </c>
      <c r="D27" s="9">
        <f>$C$58-D26</f>
        <v>84.294671</v>
      </c>
      <c r="E27" s="9">
        <f>D27-E26</f>
        <v>83.932246</v>
      </c>
      <c r="F27" s="9">
        <f t="shared" ref="F27:U27" si="11">E27-F26</f>
        <v>81.008937</v>
      </c>
      <c r="G27" s="9">
        <f t="shared" si="11"/>
        <v>80.402632</v>
      </c>
      <c r="H27" s="9">
        <f t="shared" si="11"/>
        <v>74.108848</v>
      </c>
      <c r="I27" s="9">
        <f t="shared" si="11"/>
        <v>16.751784</v>
      </c>
      <c r="J27" s="9">
        <f t="shared" si="11"/>
        <v>12.964004</v>
      </c>
      <c r="K27" s="9">
        <f t="shared" si="11"/>
        <v>12.357699</v>
      </c>
      <c r="L27" s="9">
        <f t="shared" si="11"/>
        <v>12.201495</v>
      </c>
      <c r="M27" s="9">
        <f t="shared" si="11"/>
        <v>11.869056</v>
      </c>
      <c r="N27" s="9">
        <f t="shared" si="11"/>
        <v>11.864883</v>
      </c>
      <c r="O27" s="9">
        <f t="shared" si="11"/>
        <v>11.502458</v>
      </c>
      <c r="P27" s="9">
        <f t="shared" si="11"/>
        <v>8.57914899999999</v>
      </c>
      <c r="Q27" s="9">
        <f t="shared" si="11"/>
        <v>6.51189199999999</v>
      </c>
      <c r="R27" s="9">
        <f t="shared" si="11"/>
        <v>0.578402999999993</v>
      </c>
      <c r="S27" s="9">
        <f t="shared" si="11"/>
        <v>0.494307999999993</v>
      </c>
      <c r="T27" s="9">
        <f t="shared" si="11"/>
        <v>0.332438999999993</v>
      </c>
      <c r="U27" s="9">
        <f t="shared" si="11"/>
        <v>-7.38298311375729e-15</v>
      </c>
    </row>
    <row r="28" customFormat="1" spans="1:21">
      <c r="A28" s="4"/>
      <c r="B28" s="2"/>
      <c r="C28" s="10">
        <v>1</v>
      </c>
      <c r="D28" s="11">
        <f>D27/$C$58</f>
        <v>0.999950497541817</v>
      </c>
      <c r="E28" s="11">
        <f t="shared" ref="E28:U28" si="12">E27/$C$58</f>
        <v>0.995651209641736</v>
      </c>
      <c r="F28" s="11">
        <f t="shared" si="12"/>
        <v>0.96097328452096</v>
      </c>
      <c r="G28" s="11">
        <f t="shared" si="12"/>
        <v>0.953780955762572</v>
      </c>
      <c r="H28" s="11">
        <f t="shared" si="12"/>
        <v>0.879120572519357</v>
      </c>
      <c r="I28" s="11">
        <f t="shared" si="12"/>
        <v>0.198719023952452</v>
      </c>
      <c r="J28" s="11">
        <f t="shared" si="12"/>
        <v>0.153786260698901</v>
      </c>
      <c r="K28" s="11">
        <f t="shared" si="12"/>
        <v>0.146593931940514</v>
      </c>
      <c r="L28" s="11">
        <f t="shared" si="12"/>
        <v>0.144740952794086</v>
      </c>
      <c r="M28" s="11">
        <f t="shared" si="12"/>
        <v>0.140797375584415</v>
      </c>
      <c r="N28" s="11">
        <f t="shared" si="12"/>
        <v>0.140747873126232</v>
      </c>
      <c r="O28" s="11">
        <f t="shared" si="12"/>
        <v>0.136448585226151</v>
      </c>
      <c r="P28" s="11">
        <f t="shared" si="12"/>
        <v>0.101770660105375</v>
      </c>
      <c r="Q28" s="11">
        <f t="shared" si="12"/>
        <v>0.0772477022342085</v>
      </c>
      <c r="R28" s="11">
        <f t="shared" si="12"/>
        <v>0.00686133964067162</v>
      </c>
      <c r="S28" s="11">
        <f t="shared" si="12"/>
        <v>0.00586375775212282</v>
      </c>
      <c r="T28" s="11">
        <f t="shared" si="12"/>
        <v>0.00394357720967078</v>
      </c>
      <c r="U28" s="11">
        <f t="shared" si="12"/>
        <v>-8.75810718561845e-17</v>
      </c>
    </row>
    <row r="29" customFormat="1" spans="1:21">
      <c r="A29" s="2"/>
      <c r="B29" s="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="2" customFormat="1" spans="4:21"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="2" customFormat="1" spans="2:21">
      <c r="B31" s="2" t="s">
        <v>27</v>
      </c>
      <c r="C31" s="2">
        <v>0</v>
      </c>
      <c r="D31" s="12">
        <v>30</v>
      </c>
      <c r="E31" s="12">
        <v>12</v>
      </c>
      <c r="F31" s="12">
        <v>30</v>
      </c>
      <c r="G31" s="12">
        <v>18</v>
      </c>
      <c r="H31" s="12">
        <v>144</v>
      </c>
      <c r="I31" s="12">
        <v>1143</v>
      </c>
      <c r="J31" s="12">
        <v>144</v>
      </c>
      <c r="K31" s="12">
        <v>18</v>
      </c>
      <c r="L31" s="12">
        <v>30</v>
      </c>
      <c r="M31" s="12">
        <v>12</v>
      </c>
      <c r="N31" s="12">
        <v>30</v>
      </c>
      <c r="O31" s="12">
        <v>12</v>
      </c>
      <c r="P31" s="12">
        <v>30</v>
      </c>
      <c r="Q31" s="12">
        <v>24</v>
      </c>
      <c r="R31" s="12">
        <v>81</v>
      </c>
      <c r="S31" s="12">
        <v>24</v>
      </c>
      <c r="T31" s="12">
        <v>30</v>
      </c>
      <c r="U31" s="12">
        <v>12</v>
      </c>
    </row>
    <row r="32" s="2" customFormat="1" spans="1:21">
      <c r="A32" s="4" t="s">
        <v>24</v>
      </c>
      <c r="B32" s="2" t="s">
        <v>20</v>
      </c>
      <c r="D32" s="9">
        <v>0.00414</v>
      </c>
      <c r="E32" s="9">
        <v>0.359594</v>
      </c>
      <c r="F32" s="9">
        <v>2.837276</v>
      </c>
      <c r="G32" s="9">
        <v>0.552865</v>
      </c>
      <c r="H32" s="9">
        <v>5.71025</v>
      </c>
      <c r="I32" s="9">
        <v>83.707427</v>
      </c>
      <c r="J32" s="9">
        <v>3.223824</v>
      </c>
      <c r="K32" s="9">
        <v>0.552865</v>
      </c>
      <c r="L32" s="9">
        <v>0.091789</v>
      </c>
      <c r="M32" s="9">
        <v>0.329842</v>
      </c>
      <c r="N32" s="9">
        <v>0.00414</v>
      </c>
      <c r="O32" s="9">
        <v>0.359594</v>
      </c>
      <c r="P32" s="9">
        <v>2.837276</v>
      </c>
      <c r="Q32" s="9">
        <v>1.962046</v>
      </c>
      <c r="R32" s="9">
        <v>5.932022</v>
      </c>
      <c r="S32" s="9">
        <v>0.102141</v>
      </c>
      <c r="T32" s="9">
        <v>0.097409</v>
      </c>
      <c r="U32" s="9">
        <v>0.329842</v>
      </c>
    </row>
    <row r="33" s="8" customFormat="1" spans="1:21">
      <c r="A33" s="4"/>
      <c r="C33" s="12">
        <v>108.994342</v>
      </c>
      <c r="D33" s="9">
        <f>$C$62-D32</f>
        <v>108.990202</v>
      </c>
      <c r="E33" s="9">
        <f>D33-E32</f>
        <v>108.630608</v>
      </c>
      <c r="F33" s="9">
        <f t="shared" ref="F33:U33" si="13">E33-F32</f>
        <v>105.793332</v>
      </c>
      <c r="G33" s="9">
        <f t="shared" si="13"/>
        <v>105.240467</v>
      </c>
      <c r="H33" s="9">
        <f t="shared" si="13"/>
        <v>99.530217</v>
      </c>
      <c r="I33" s="9">
        <f t="shared" si="13"/>
        <v>15.82279</v>
      </c>
      <c r="J33" s="9">
        <f t="shared" si="13"/>
        <v>12.598966</v>
      </c>
      <c r="K33" s="9">
        <f t="shared" si="13"/>
        <v>12.046101</v>
      </c>
      <c r="L33" s="9">
        <f t="shared" si="13"/>
        <v>11.954312</v>
      </c>
      <c r="M33" s="9">
        <f t="shared" si="13"/>
        <v>11.62447</v>
      </c>
      <c r="N33" s="9">
        <f t="shared" si="13"/>
        <v>11.62033</v>
      </c>
      <c r="O33" s="9">
        <f t="shared" si="13"/>
        <v>11.260736</v>
      </c>
      <c r="P33" s="9">
        <f t="shared" si="13"/>
        <v>8.42346</v>
      </c>
      <c r="Q33" s="9">
        <f t="shared" si="13"/>
        <v>6.461414</v>
      </c>
      <c r="R33" s="9">
        <f t="shared" si="13"/>
        <v>0.529391999999999</v>
      </c>
      <c r="S33" s="9">
        <f t="shared" si="13"/>
        <v>0.427250999999999</v>
      </c>
      <c r="T33" s="9">
        <f t="shared" si="13"/>
        <v>0.329841999999999</v>
      </c>
      <c r="U33" s="9">
        <f t="shared" si="13"/>
        <v>-1.27675647831893e-15</v>
      </c>
    </row>
    <row r="34" s="8" customFormat="1" spans="1:21">
      <c r="A34" s="4"/>
      <c r="C34" s="10">
        <v>1</v>
      </c>
      <c r="D34" s="11">
        <f>D33/$C$62</f>
        <v>0.99996201637696</v>
      </c>
      <c r="E34" s="11">
        <f t="shared" ref="E34:U34" si="14">E33/$C$62</f>
        <v>0.996662817598367</v>
      </c>
      <c r="F34" s="11">
        <f t="shared" si="14"/>
        <v>0.97063141130757</v>
      </c>
      <c r="G34" s="11">
        <f t="shared" si="14"/>
        <v>0.965558992043825</v>
      </c>
      <c r="H34" s="11">
        <f t="shared" si="14"/>
        <v>0.913168657874002</v>
      </c>
      <c r="I34" s="11">
        <f t="shared" si="14"/>
        <v>0.145170746569579</v>
      </c>
      <c r="J34" s="11">
        <f t="shared" si="14"/>
        <v>0.115592844259751</v>
      </c>
      <c r="K34" s="11">
        <f t="shared" si="14"/>
        <v>0.110520424996006</v>
      </c>
      <c r="L34" s="11">
        <f t="shared" si="14"/>
        <v>0.109678280364315</v>
      </c>
      <c r="M34" s="11">
        <f t="shared" si="14"/>
        <v>0.10665204988347</v>
      </c>
      <c r="N34" s="11">
        <f t="shared" si="14"/>
        <v>0.10661406626043</v>
      </c>
      <c r="O34" s="11">
        <f t="shared" si="14"/>
        <v>0.103314867481837</v>
      </c>
      <c r="P34" s="11">
        <f t="shared" si="14"/>
        <v>0.0772834611910405</v>
      </c>
      <c r="Q34" s="11">
        <f t="shared" si="14"/>
        <v>0.0592821047536577</v>
      </c>
      <c r="R34" s="11">
        <f t="shared" si="14"/>
        <v>0.00485705946093971</v>
      </c>
      <c r="S34" s="11">
        <f t="shared" si="14"/>
        <v>0.00391993742207278</v>
      </c>
      <c r="T34" s="11">
        <f t="shared" si="14"/>
        <v>0.00302623048084458</v>
      </c>
      <c r="U34" s="11">
        <f t="shared" si="14"/>
        <v>-1.17139702381884e-17</v>
      </c>
    </row>
    <row r="35" s="8" customFormat="1" spans="1:21">
      <c r="A35" s="4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="8" customFormat="1" spans="1:21">
      <c r="A36" s="4"/>
      <c r="B36" s="8" t="s">
        <v>21</v>
      </c>
      <c r="C36" s="2"/>
      <c r="D36" s="9">
        <v>0.003135</v>
      </c>
      <c r="E36" s="9">
        <v>0.272272</v>
      </c>
      <c r="F36" s="9">
        <v>2.571291</v>
      </c>
      <c r="G36" s="9">
        <v>0.531767</v>
      </c>
      <c r="H36" s="9">
        <v>4.937473</v>
      </c>
      <c r="I36" s="9">
        <v>53.613048</v>
      </c>
      <c r="J36" s="9">
        <v>3.054837</v>
      </c>
      <c r="K36" s="9">
        <v>0.531767</v>
      </c>
      <c r="L36" s="9">
        <v>0.492503</v>
      </c>
      <c r="M36" s="9">
        <v>0.249745</v>
      </c>
      <c r="N36" s="9">
        <v>0.003135</v>
      </c>
      <c r="O36" s="9">
        <v>0.272272</v>
      </c>
      <c r="P36" s="9">
        <v>2.571291</v>
      </c>
      <c r="Q36" s="9">
        <v>1.587904</v>
      </c>
      <c r="R36" s="9">
        <v>3.79935</v>
      </c>
      <c r="S36" s="9">
        <v>0.055852</v>
      </c>
      <c r="T36" s="9">
        <v>0.496759</v>
      </c>
      <c r="U36" s="9">
        <v>0.249745</v>
      </c>
    </row>
    <row r="37" s="8" customFormat="1" spans="1:21">
      <c r="A37" s="4"/>
      <c r="C37" s="12">
        <v>75.294146</v>
      </c>
      <c r="D37" s="9">
        <f>$C$63-D36</f>
        <v>75.291011</v>
      </c>
      <c r="E37" s="9">
        <f>D37-E36</f>
        <v>75.018739</v>
      </c>
      <c r="F37" s="9">
        <f t="shared" ref="F37:U37" si="15">E37-F36</f>
        <v>72.447448</v>
      </c>
      <c r="G37" s="9">
        <f t="shared" si="15"/>
        <v>71.915681</v>
      </c>
      <c r="H37" s="9">
        <f t="shared" si="15"/>
        <v>66.978208</v>
      </c>
      <c r="I37" s="9">
        <f t="shared" si="15"/>
        <v>13.36516</v>
      </c>
      <c r="J37" s="9">
        <f t="shared" si="15"/>
        <v>10.310323</v>
      </c>
      <c r="K37" s="9">
        <f t="shared" si="15"/>
        <v>9.778556</v>
      </c>
      <c r="L37" s="9">
        <f t="shared" si="15"/>
        <v>9.286053</v>
      </c>
      <c r="M37" s="9">
        <f t="shared" si="15"/>
        <v>9.036308</v>
      </c>
      <c r="N37" s="9">
        <f t="shared" si="15"/>
        <v>9.033173</v>
      </c>
      <c r="O37" s="9">
        <f t="shared" si="15"/>
        <v>8.760901</v>
      </c>
      <c r="P37" s="9">
        <f t="shared" si="15"/>
        <v>6.18961</v>
      </c>
      <c r="Q37" s="9">
        <f t="shared" si="15"/>
        <v>4.601706</v>
      </c>
      <c r="R37" s="9">
        <f t="shared" si="15"/>
        <v>0.802355999999997</v>
      </c>
      <c r="S37" s="9">
        <f t="shared" si="15"/>
        <v>0.746503999999997</v>
      </c>
      <c r="T37" s="9">
        <f t="shared" si="15"/>
        <v>0.249744999999996</v>
      </c>
      <c r="U37" s="9">
        <f t="shared" si="15"/>
        <v>-3.49720252756924e-15</v>
      </c>
    </row>
    <row r="38" s="8" customFormat="1" spans="1:21">
      <c r="A38" s="4"/>
      <c r="C38" s="10">
        <v>1</v>
      </c>
      <c r="D38" s="11">
        <f>D37/$C$63</f>
        <v>0.999958363296929</v>
      </c>
      <c r="E38" s="11">
        <f t="shared" ref="E38:U38" si="16">E37/$C$63</f>
        <v>0.996342252158621</v>
      </c>
      <c r="F38" s="11">
        <f t="shared" si="16"/>
        <v>0.96219230642446</v>
      </c>
      <c r="G38" s="11">
        <f t="shared" si="16"/>
        <v>0.955129778615193</v>
      </c>
      <c r="H38" s="11">
        <f t="shared" si="16"/>
        <v>0.889553990027326</v>
      </c>
      <c r="I38" s="11">
        <f t="shared" si="16"/>
        <v>0.17750596440791</v>
      </c>
      <c r="J38" s="11">
        <f t="shared" si="16"/>
        <v>0.136933925779569</v>
      </c>
      <c r="K38" s="11">
        <f t="shared" si="16"/>
        <v>0.129871397970302</v>
      </c>
      <c r="L38" s="11">
        <f t="shared" si="16"/>
        <v>0.123330344964667</v>
      </c>
      <c r="M38" s="11">
        <f t="shared" si="16"/>
        <v>0.120013420432446</v>
      </c>
      <c r="N38" s="11">
        <f t="shared" si="16"/>
        <v>0.119971783729375</v>
      </c>
      <c r="O38" s="11">
        <f t="shared" si="16"/>
        <v>0.116355672591067</v>
      </c>
      <c r="P38" s="11">
        <f t="shared" si="16"/>
        <v>0.0822057268569059</v>
      </c>
      <c r="Q38" s="11">
        <f t="shared" si="16"/>
        <v>0.0611163847983613</v>
      </c>
      <c r="R38" s="11">
        <f t="shared" si="16"/>
        <v>0.010656286612242</v>
      </c>
      <c r="S38" s="11">
        <f t="shared" si="16"/>
        <v>0.0099145025165701</v>
      </c>
      <c r="T38" s="11">
        <f t="shared" si="16"/>
        <v>0.00331692453222056</v>
      </c>
      <c r="U38" s="11">
        <f t="shared" si="16"/>
        <v>-4.64472035790039e-17</v>
      </c>
    </row>
    <row r="39" s="8" customFormat="1" spans="1:21">
      <c r="A39" s="4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s="8" customFormat="1" spans="1:21">
      <c r="A40" s="4"/>
      <c r="B40" s="8" t="s">
        <v>22</v>
      </c>
      <c r="C40" s="2"/>
      <c r="D40" s="9">
        <v>0.004173</v>
      </c>
      <c r="E40" s="9">
        <v>0.362425</v>
      </c>
      <c r="F40" s="9">
        <v>2.923309</v>
      </c>
      <c r="G40" s="9">
        <v>0.606305</v>
      </c>
      <c r="H40" s="9">
        <v>6.293784</v>
      </c>
      <c r="I40" s="9">
        <v>83.728128</v>
      </c>
      <c r="J40" s="9">
        <v>3.78778</v>
      </c>
      <c r="K40" s="9">
        <v>0.606305</v>
      </c>
      <c r="L40" s="9">
        <v>0.156204</v>
      </c>
      <c r="M40" s="9">
        <v>0.332439</v>
      </c>
      <c r="N40" s="9">
        <v>0.004173</v>
      </c>
      <c r="O40" s="9">
        <v>0.362425</v>
      </c>
      <c r="P40" s="9">
        <v>2.923309</v>
      </c>
      <c r="Q40" s="9">
        <v>2.067257</v>
      </c>
      <c r="R40" s="9">
        <v>5.933489</v>
      </c>
      <c r="S40" s="9">
        <v>0.084095</v>
      </c>
      <c r="T40" s="9">
        <v>0.161869</v>
      </c>
      <c r="U40" s="9">
        <v>0.332439</v>
      </c>
    </row>
    <row r="41" customFormat="1" spans="1:21">
      <c r="A41" s="4"/>
      <c r="B41" s="2"/>
      <c r="C41" s="12">
        <v>110.669908</v>
      </c>
      <c r="D41" s="9">
        <f>$C$64-D40</f>
        <v>110.665735</v>
      </c>
      <c r="E41" s="9">
        <f>D41-E40</f>
        <v>110.30331</v>
      </c>
      <c r="F41" s="9">
        <f t="shared" ref="F41:U41" si="17">E41-F40</f>
        <v>107.380001</v>
      </c>
      <c r="G41" s="9">
        <f t="shared" si="17"/>
        <v>106.773696</v>
      </c>
      <c r="H41" s="9">
        <f t="shared" si="17"/>
        <v>100.479912</v>
      </c>
      <c r="I41" s="9">
        <f t="shared" si="17"/>
        <v>16.751784</v>
      </c>
      <c r="J41" s="9">
        <f t="shared" si="17"/>
        <v>12.964004</v>
      </c>
      <c r="K41" s="9">
        <f t="shared" si="17"/>
        <v>12.357699</v>
      </c>
      <c r="L41" s="9">
        <f t="shared" si="17"/>
        <v>12.201495</v>
      </c>
      <c r="M41" s="9">
        <f t="shared" si="17"/>
        <v>11.869056</v>
      </c>
      <c r="N41" s="9">
        <f t="shared" si="17"/>
        <v>11.864883</v>
      </c>
      <c r="O41" s="9">
        <f t="shared" si="17"/>
        <v>11.502458</v>
      </c>
      <c r="P41" s="9">
        <f t="shared" si="17"/>
        <v>8.579149</v>
      </c>
      <c r="Q41" s="9">
        <f t="shared" si="17"/>
        <v>6.511892</v>
      </c>
      <c r="R41" s="9">
        <f t="shared" si="17"/>
        <v>0.578403</v>
      </c>
      <c r="S41" s="9">
        <f t="shared" si="17"/>
        <v>0.494308</v>
      </c>
      <c r="T41" s="9">
        <f t="shared" si="17"/>
        <v>0.332439</v>
      </c>
      <c r="U41" s="9">
        <f t="shared" si="17"/>
        <v>0</v>
      </c>
    </row>
    <row r="42" customFormat="1" spans="1:21">
      <c r="A42" s="4"/>
      <c r="B42" s="2"/>
      <c r="C42" s="10">
        <v>1</v>
      </c>
      <c r="D42" s="11">
        <f>D41/$C$64</f>
        <v>0.999962293273073</v>
      </c>
      <c r="E42" s="11">
        <f t="shared" ref="E42:U42" si="18">E41/$C$64</f>
        <v>0.996687464491251</v>
      </c>
      <c r="F42" s="11">
        <f t="shared" si="18"/>
        <v>0.970272795383547</v>
      </c>
      <c r="G42" s="11">
        <f t="shared" si="18"/>
        <v>0.964794296205614</v>
      </c>
      <c r="H42" s="11">
        <f t="shared" si="18"/>
        <v>0.907924419707659</v>
      </c>
      <c r="I42" s="11">
        <f t="shared" si="18"/>
        <v>0.151367108753718</v>
      </c>
      <c r="J42" s="11">
        <f t="shared" si="18"/>
        <v>0.117141183491361</v>
      </c>
      <c r="K42" s="11">
        <f t="shared" si="18"/>
        <v>0.111662684313427</v>
      </c>
      <c r="L42" s="11">
        <f t="shared" si="18"/>
        <v>0.110251243725621</v>
      </c>
      <c r="M42" s="11">
        <f t="shared" si="18"/>
        <v>0.10724736483923</v>
      </c>
      <c r="N42" s="11">
        <f t="shared" si="18"/>
        <v>0.107209658112303</v>
      </c>
      <c r="O42" s="11">
        <f t="shared" si="18"/>
        <v>0.103934829330481</v>
      </c>
      <c r="P42" s="11">
        <f t="shared" si="18"/>
        <v>0.0775201602227771</v>
      </c>
      <c r="Q42" s="11">
        <f t="shared" si="18"/>
        <v>0.0588406741966389</v>
      </c>
      <c r="R42" s="11">
        <f t="shared" si="18"/>
        <v>0.00522638005626606</v>
      </c>
      <c r="S42" s="11">
        <f t="shared" si="18"/>
        <v>0.00446650773397227</v>
      </c>
      <c r="T42" s="11">
        <f t="shared" si="18"/>
        <v>0.00300387888639069</v>
      </c>
      <c r="U42" s="11">
        <f t="shared" si="18"/>
        <v>0</v>
      </c>
    </row>
    <row r="43" customFormat="1" spans="1:21">
      <c r="A43" s="2"/>
      <c r="B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9" spans="1:3">
      <c r="A49" s="4" t="s">
        <v>19</v>
      </c>
      <c r="C49" s="2" t="s">
        <v>25</v>
      </c>
    </row>
    <row r="50" spans="2:3">
      <c r="B50" s="2" t="s">
        <v>20</v>
      </c>
      <c r="C50" s="12">
        <v>56.265254</v>
      </c>
    </row>
    <row r="51" spans="2:3">
      <c r="B51" s="8" t="s">
        <v>21</v>
      </c>
      <c r="C51" s="12">
        <v>41.522147</v>
      </c>
    </row>
    <row r="52" spans="2:3">
      <c r="B52" s="8" t="s">
        <v>22</v>
      </c>
      <c r="C52" s="12">
        <v>57.92778</v>
      </c>
    </row>
    <row r="53" spans="3:3">
      <c r="C53" s="12"/>
    </row>
    <row r="54" spans="3:3">
      <c r="C54" s="12"/>
    </row>
    <row r="55" spans="3:3">
      <c r="C55" s="12" t="s">
        <v>25</v>
      </c>
    </row>
    <row r="56" spans="1:3">
      <c r="A56" s="4" t="s">
        <v>23</v>
      </c>
      <c r="B56" s="2" t="s">
        <v>20</v>
      </c>
      <c r="C56" s="12">
        <v>82.629798</v>
      </c>
    </row>
    <row r="57" spans="2:3">
      <c r="B57" s="8" t="s">
        <v>21</v>
      </c>
      <c r="C57" s="12">
        <v>58.408147</v>
      </c>
    </row>
    <row r="58" spans="2:3">
      <c r="B58" s="8" t="s">
        <v>22</v>
      </c>
      <c r="C58" s="12">
        <v>84.298844</v>
      </c>
    </row>
    <row r="59" spans="3:3">
      <c r="C59" s="12"/>
    </row>
    <row r="60" spans="3:3">
      <c r="C60" s="12"/>
    </row>
    <row r="61" spans="3:3">
      <c r="C61" s="12" t="s">
        <v>25</v>
      </c>
    </row>
    <row r="62" spans="1:3">
      <c r="A62" s="4" t="s">
        <v>24</v>
      </c>
      <c r="B62" s="2" t="s">
        <v>20</v>
      </c>
      <c r="C62" s="12">
        <v>108.994342</v>
      </c>
    </row>
    <row r="63" spans="2:3">
      <c r="B63" s="8" t="s">
        <v>21</v>
      </c>
      <c r="C63" s="12">
        <v>75.294146</v>
      </c>
    </row>
    <row r="64" spans="2:3">
      <c r="B64" s="8" t="s">
        <v>22</v>
      </c>
      <c r="C64" s="12">
        <v>110.669908</v>
      </c>
    </row>
    <row r="65" spans="4:4">
      <c r="D65" s="5"/>
    </row>
    <row r="66" spans="4:4">
      <c r="D66" s="5"/>
    </row>
  </sheetData>
  <mergeCells count="3">
    <mergeCell ref="A4:A14"/>
    <mergeCell ref="A18:A28"/>
    <mergeCell ref="A32:A42"/>
  </mergeCells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70" zoomScaleNormal="70" workbookViewId="0">
      <selection activeCell="H9" sqref="H9"/>
    </sheetView>
  </sheetViews>
  <sheetFormatPr defaultColWidth="8.88888888888889" defaultRowHeight="14.4" outlineLevelCol="5"/>
  <cols>
    <col min="2" max="2" width="22.8518518518519" customWidth="1"/>
    <col min="3" max="7" width="13.4907407407407" customWidth="1"/>
  </cols>
  <sheetData>
    <row r="1" spans="1:5">
      <c r="A1" s="1"/>
      <c r="B1" s="1"/>
      <c r="C1" s="2" t="s">
        <v>25</v>
      </c>
      <c r="D1" s="2"/>
      <c r="E1" s="3" t="s">
        <v>28</v>
      </c>
    </row>
    <row r="2" spans="1:5">
      <c r="A2" s="4" t="s">
        <v>19</v>
      </c>
      <c r="B2" s="2"/>
      <c r="C2" s="2" t="s">
        <v>29</v>
      </c>
      <c r="D2" s="2" t="s">
        <v>30</v>
      </c>
      <c r="E2" s="3"/>
    </row>
    <row r="3" spans="1:6">
      <c r="A3" s="2"/>
      <c r="B3" s="2" t="s">
        <v>20</v>
      </c>
      <c r="C3" s="5">
        <f>'1500 ft'!C17</f>
        <v>62.166692</v>
      </c>
      <c r="D3" s="5">
        <f>'3000 ft'!C50</f>
        <v>56.265254</v>
      </c>
      <c r="E3" s="6">
        <f>1-D3/C3</f>
        <v>0.0949292589028221</v>
      </c>
      <c r="F3" s="7"/>
    </row>
    <row r="4" spans="1:5">
      <c r="A4" s="2"/>
      <c r="B4" s="8" t="s">
        <v>21</v>
      </c>
      <c r="C4" s="5">
        <f>'1500 ft'!C18</f>
        <v>41.94804</v>
      </c>
      <c r="D4" s="5">
        <f>'3000 ft'!C51</f>
        <v>41.522147</v>
      </c>
      <c r="E4" s="6">
        <f>1-D4/C4</f>
        <v>0.0101528700745017</v>
      </c>
    </row>
    <row r="5" spans="1:5">
      <c r="A5" s="2"/>
      <c r="B5" s="8" t="s">
        <v>22</v>
      </c>
      <c r="C5" s="5">
        <f>'1500 ft'!C19</f>
        <v>62.644823</v>
      </c>
      <c r="D5" s="5">
        <f>'3000 ft'!C52</f>
        <v>57.92778</v>
      </c>
      <c r="E5" s="6">
        <f>1-D5/C5</f>
        <v>0.075298209398724</v>
      </c>
    </row>
    <row r="6" spans="1:5">
      <c r="A6" s="2"/>
      <c r="B6" s="2"/>
      <c r="C6" s="5"/>
      <c r="D6" s="1"/>
      <c r="E6" s="6"/>
    </row>
    <row r="7" spans="1:5">
      <c r="A7" s="4" t="s">
        <v>23</v>
      </c>
      <c r="B7" s="2" t="s">
        <v>20</v>
      </c>
      <c r="C7" s="5">
        <f>'1500 ft'!C23</f>
        <v>88.83862</v>
      </c>
      <c r="D7" s="5">
        <f>'3000 ft'!C56</f>
        <v>82.629798</v>
      </c>
      <c r="E7" s="6">
        <f>1-D7/C7</f>
        <v>0.0698887713474163</v>
      </c>
    </row>
    <row r="8" spans="1:5">
      <c r="A8" s="2"/>
      <c r="B8" s="8" t="s">
        <v>21</v>
      </c>
      <c r="C8" s="5">
        <f>'1500 ft'!C24</f>
        <v>58.736625</v>
      </c>
      <c r="D8" s="5">
        <f>'3000 ft'!C57</f>
        <v>58.408147</v>
      </c>
      <c r="E8" s="6">
        <f>1-D8/C8</f>
        <v>0.00559238805430162</v>
      </c>
    </row>
    <row r="9" spans="1:5">
      <c r="A9" s="2"/>
      <c r="B9" s="8" t="s">
        <v>22</v>
      </c>
      <c r="C9" s="5">
        <f>'1500 ft'!C25</f>
        <v>89.132662</v>
      </c>
      <c r="D9" s="5">
        <f>'3000 ft'!C58</f>
        <v>84.298844</v>
      </c>
      <c r="E9" s="6">
        <f>1-D9/C9</f>
        <v>0.0542317248417868</v>
      </c>
    </row>
    <row r="10" spans="1:5">
      <c r="A10" s="2"/>
      <c r="B10" s="2"/>
      <c r="C10" s="5"/>
      <c r="D10" s="2"/>
      <c r="E10" s="6"/>
    </row>
    <row r="11" spans="1:5">
      <c r="A11" s="4" t="s">
        <v>24</v>
      </c>
      <c r="B11" s="2" t="s">
        <v>20</v>
      </c>
      <c r="C11" s="5">
        <f>'1500 ft'!C29</f>
        <v>115.510548</v>
      </c>
      <c r="D11" s="5">
        <f>'3000 ft'!C62</f>
        <v>108.994342</v>
      </c>
      <c r="E11" s="6">
        <f>1-D11/C11</f>
        <v>0.0564122161380448</v>
      </c>
    </row>
    <row r="12" spans="1:5">
      <c r="A12" s="2"/>
      <c r="B12" s="8" t="s">
        <v>21</v>
      </c>
      <c r="C12" s="5">
        <f>'1500 ft'!C30</f>
        <v>75.525211</v>
      </c>
      <c r="D12" s="5">
        <f>'3000 ft'!C63</f>
        <v>75.294146</v>
      </c>
      <c r="E12" s="6">
        <f>1-D12/C12</f>
        <v>0.00305944196567687</v>
      </c>
    </row>
    <row r="13" spans="1:5">
      <c r="A13" s="2"/>
      <c r="B13" s="8" t="s">
        <v>22</v>
      </c>
      <c r="C13" s="5">
        <f>'1500 ft'!C31</f>
        <v>115.620501</v>
      </c>
      <c r="D13" s="5">
        <f>'3000 ft'!C64</f>
        <v>110.669908</v>
      </c>
      <c r="E13" s="6">
        <f>1-D13/C13</f>
        <v>0.0428176055040619</v>
      </c>
    </row>
  </sheetData>
  <mergeCells count="2">
    <mergeCell ref="C1:D1"/>
    <mergeCell ref="E1:E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1500 ft</vt:lpstr>
      <vt:lpstr>3000 ft</vt:lpstr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2025-10-27T12:11:21Z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1033-12.2.0.23131</vt:lpwstr>
  </property>
</Properties>
</file>