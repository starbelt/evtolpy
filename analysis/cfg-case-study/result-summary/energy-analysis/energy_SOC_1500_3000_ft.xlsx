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 activeTab="1"/>
  </bookViews>
  <sheets>
    <sheet name="1500 ft" sheetId="1" r:id="rId1"/>
    <sheet name="3000 f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<sst xmlns="http://schemas.openxmlformats.org/spreadsheetml/2006/main" count="96" uniqueCount="29">
  <si>
    <t>Time (s)</t>
  </si>
  <si>
    <t>Depart Taxi</t>
  </si>
  <si>
    <t>Hover Climb</t>
  </si>
  <si>
    <t>Transition Climb</t>
  </si>
  <si>
    <t>Depart Procedures</t>
  </si>
  <si>
    <t>Accelerate Climb</t>
  </si>
  <si>
    <t>Cruise</t>
  </si>
  <si>
    <t>Decelerate Descend</t>
  </si>
  <si>
    <t>Arrive Procedures</t>
  </si>
  <si>
    <t>Transition Descend</t>
  </si>
  <si>
    <t>Hover Descend</t>
  </si>
  <si>
    <t>Arrive Taxi</t>
  </si>
  <si>
    <t>Reserve Hover Climb</t>
  </si>
  <si>
    <t>Reserve Transition Climb</t>
  </si>
  <si>
    <t>Reserve Accelerate Climb</t>
  </si>
  <si>
    <t>Reserve Cruise</t>
  </si>
  <si>
    <t>Reserve Decelerate Descend</t>
  </si>
  <si>
    <t>Reserve Transition Descend</t>
  </si>
  <si>
    <t>Reserve Hover Descend</t>
  </si>
  <si>
    <t>30 miles</t>
  </si>
  <si>
    <t>Archer Midnight</t>
  </si>
  <si>
    <t>Joby S4</t>
  </si>
  <si>
    <t>Supernal S-A2</t>
  </si>
  <si>
    <t>45 miles</t>
  </si>
  <si>
    <t>60 miles</t>
  </si>
  <si>
    <t>Total energy</t>
  </si>
  <si>
    <t>Segment Duration (s)</t>
  </si>
  <si>
    <t>Cummulative Time (s)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</si>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</sst>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9" fontId="0" fillId="0" borderId="0" xfId="0" applyNumberFormat="1" applyFont="1" applyFill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At 3000 ft</a:t>
            </a:r>
            <a:endParaRPr sz="1800"/>
          </a:p>
        </c:rich>
      </c:tx>
      <c:layout>
        <c:manualLayout>
          <c:xMode val="edge"/>
          <c:yMode val="edge"/>
          <c:x val="0.323135203027967"/>
          <c:y val="0.03339027384828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ft'!$C$5:$U$5</c:f>
              <c:numCache>
                <c:formatCode>0.00_ </c:formatCode>
                <c:ptCount val="19"/>
                <c:pt idx="0">
                  <c:v>64.78556</c:v>
                </c:pt>
                <c:pt idx="1">
                  <c:v>64.78142</c:v>
                </c:pt>
                <c:pt idx="2">
                  <c:v>62.274316</c:v>
                </c:pt>
                <c:pt idx="3">
                  <c:v>59.454474</c:v>
                </c:pt>
                <c:pt idx="4">
                  <c:v>58.901609</c:v>
                </c:pt>
                <c:pt idx="5">
                  <c:v>53.191359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ft'!$C$9:$U$9</c:f>
              <c:numCache>
                <c:formatCode>0.00_ </c:formatCode>
                <c:ptCount val="19"/>
                <c:pt idx="0">
                  <c:v>46.607266</c:v>
                </c:pt>
                <c:pt idx="1">
                  <c:v>46.604131</c:v>
                </c:pt>
                <c:pt idx="2">
                  <c:v>45.044772</c:v>
                </c:pt>
                <c:pt idx="3">
                  <c:v>42.489288</c:v>
                </c:pt>
                <c:pt idx="4">
                  <c:v>41.957521</c:v>
                </c:pt>
                <c:pt idx="5">
                  <c:v>37.020048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7.46088899999999</c:v>
                </c:pt>
                <c:pt idx="14">
                  <c:v>5.87298499999999</c:v>
                </c:pt>
                <c:pt idx="15">
                  <c:v>2.07363499999999</c:v>
                </c:pt>
                <c:pt idx="16">
                  <c:v>2.01778299999999</c:v>
                </c:pt>
                <c:pt idx="17">
                  <c:v>1.53683199999999</c:v>
                </c:pt>
                <c:pt idx="18">
                  <c:v>-7.105427357601e-15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ft'!$C$13:$U$13</c:f>
              <c:numCache>
                <c:formatCode>0.00_ </c:formatCode>
                <c:ptCount val="19"/>
                <c:pt idx="0">
                  <c:v>69.921877</c:v>
                </c:pt>
                <c:pt idx="1">
                  <c:v>69.917509</c:v>
                </c:pt>
                <c:pt idx="2">
                  <c:v>68.063953</c:v>
                </c:pt>
                <c:pt idx="3">
                  <c:v>64.956807</c:v>
                </c:pt>
                <c:pt idx="4">
                  <c:v>64.304051</c:v>
                </c:pt>
                <c:pt idx="5">
                  <c:v>57.626273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8.81216799999999</c:v>
                </c:pt>
                <c:pt idx="15">
                  <c:v>2.12335099999999</c:v>
                </c:pt>
                <c:pt idx="16">
                  <c:v>2.03842799999999</c:v>
                </c:pt>
                <c:pt idx="17">
                  <c:v>1.82216499999999</c:v>
                </c:pt>
                <c:pt idx="18">
                  <c:v>-1.11022302462516e-14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ft'!$C$19:$U$19</c:f>
              <c:numCache>
                <c:formatCode>0.00_ </c:formatCode>
                <c:ptCount val="19"/>
                <c:pt idx="0">
                  <c:v>91.150104</c:v>
                </c:pt>
                <c:pt idx="1">
                  <c:v>91.145964</c:v>
                </c:pt>
                <c:pt idx="2">
                  <c:v>88.63886</c:v>
                </c:pt>
                <c:pt idx="3">
                  <c:v>85.819018</c:v>
                </c:pt>
                <c:pt idx="4">
                  <c:v>85.266153</c:v>
                </c:pt>
                <c:pt idx="5">
                  <c:v>79.555903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ft'!$C$23:$U$23</c:f>
              <c:numCache>
                <c:formatCode>0.00_ </c:formatCode>
                <c:ptCount val="19"/>
                <c:pt idx="0">
                  <c:v>63.493266</c:v>
                </c:pt>
                <c:pt idx="1">
                  <c:v>63.490131</c:v>
                </c:pt>
                <c:pt idx="2">
                  <c:v>61.930772</c:v>
                </c:pt>
                <c:pt idx="3">
                  <c:v>59.375288</c:v>
                </c:pt>
                <c:pt idx="4">
                  <c:v>58.843521</c:v>
                </c:pt>
                <c:pt idx="5">
                  <c:v>53.906048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7.46088899999999</c:v>
                </c:pt>
                <c:pt idx="14">
                  <c:v>5.87298499999999</c:v>
                </c:pt>
                <c:pt idx="15">
                  <c:v>2.07363499999999</c:v>
                </c:pt>
                <c:pt idx="16">
                  <c:v>2.01778299999999</c:v>
                </c:pt>
                <c:pt idx="17">
                  <c:v>1.53683199999999</c:v>
                </c:pt>
                <c:pt idx="18">
                  <c:v>-1.06581410364015e-14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ft'!$C$27:$U$27</c:f>
              <c:numCache>
                <c:formatCode>0.00_ </c:formatCode>
                <c:ptCount val="19"/>
                <c:pt idx="0">
                  <c:v>99.649952</c:v>
                </c:pt>
                <c:pt idx="1">
                  <c:v>99.645584</c:v>
                </c:pt>
                <c:pt idx="2">
                  <c:v>97.792028</c:v>
                </c:pt>
                <c:pt idx="3">
                  <c:v>94.684882</c:v>
                </c:pt>
                <c:pt idx="4">
                  <c:v>94.032126</c:v>
                </c:pt>
                <c:pt idx="5">
                  <c:v>87.354348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8.812168</c:v>
                </c:pt>
                <c:pt idx="15">
                  <c:v>2.123351</c:v>
                </c:pt>
                <c:pt idx="16">
                  <c:v>2.038428</c:v>
                </c:pt>
                <c:pt idx="17">
                  <c:v>1.822165</c:v>
                </c:pt>
                <c:pt idx="18">
                  <c:v>3.10862446895044e-15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ft'!$C$33:$U$33</c:f>
              <c:numCache>
                <c:formatCode>0.00_ </c:formatCode>
                <c:ptCount val="19"/>
                <c:pt idx="0">
                  <c:v>117.514648</c:v>
                </c:pt>
                <c:pt idx="1">
                  <c:v>117.510508</c:v>
                </c:pt>
                <c:pt idx="2">
                  <c:v>115.003404</c:v>
                </c:pt>
                <c:pt idx="3">
                  <c:v>112.183562</c:v>
                </c:pt>
                <c:pt idx="4">
                  <c:v>111.630697</c:v>
                </c:pt>
                <c:pt idx="5">
                  <c:v>105.920447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ft'!$C$37:$U$37</c:f>
              <c:numCache>
                <c:formatCode>0.00_ </c:formatCode>
                <c:ptCount val="19"/>
                <c:pt idx="0">
                  <c:v>80.379265</c:v>
                </c:pt>
                <c:pt idx="1">
                  <c:v>80.37613</c:v>
                </c:pt>
                <c:pt idx="2">
                  <c:v>78.816771</c:v>
                </c:pt>
                <c:pt idx="3">
                  <c:v>76.261287</c:v>
                </c:pt>
                <c:pt idx="4">
                  <c:v>75.72952</c:v>
                </c:pt>
                <c:pt idx="5">
                  <c:v>70.792047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7.46088900000004</c:v>
                </c:pt>
                <c:pt idx="14">
                  <c:v>5.87298500000004</c:v>
                </c:pt>
                <c:pt idx="15">
                  <c:v>2.07363500000004</c:v>
                </c:pt>
                <c:pt idx="16">
                  <c:v>2.01778300000004</c:v>
                </c:pt>
                <c:pt idx="17">
                  <c:v>1.53683200000004</c:v>
                </c:pt>
                <c:pt idx="18">
                  <c:v>3.90798504668055e-14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ft'!$C$41:$U$41</c:f>
              <c:numCache>
                <c:formatCode>0.00_ </c:formatCode>
                <c:ptCount val="19"/>
                <c:pt idx="0">
                  <c:v>129.378027</c:v>
                </c:pt>
                <c:pt idx="1">
                  <c:v>129.373659</c:v>
                </c:pt>
                <c:pt idx="2">
                  <c:v>127.520103</c:v>
                </c:pt>
                <c:pt idx="3">
                  <c:v>124.412957</c:v>
                </c:pt>
                <c:pt idx="4">
                  <c:v>123.760201</c:v>
                </c:pt>
                <c:pt idx="5">
                  <c:v>117.082423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8.812168</c:v>
                </c:pt>
                <c:pt idx="15">
                  <c:v>2.123351</c:v>
                </c:pt>
                <c:pt idx="16">
                  <c:v>2.038428</c:v>
                </c:pt>
                <c:pt idx="17">
                  <c:v>1.822165</c:v>
                </c:pt>
                <c:pt idx="18">
                  <c:v>3.10862446895044e-15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f5641a-0fbd-48e1-8446-860b38489b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At 3000 ft</a:t>
            </a:r>
            <a:endParaRPr sz="1800"/>
          </a:p>
        </c:rich>
      </c:tx>
      <c:layout>
        <c:manualLayout>
          <c:xMode val="edge"/>
          <c:yMode val="edge"/>
          <c:x val="0.402066825183314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ft'!$C$6:$U$6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0.999936096870969</c:v>
                </c:pt>
                <c:pt idx="2" c:formatCode="0.00%">
                  <c:v>0.961237596773108</c:v>
                </c:pt>
                <c:pt idx="3" c:formatCode="0.00%">
                  <c:v>0.917711817262983</c:v>
                </c:pt>
                <c:pt idx="4" c:formatCode="0.00%">
                  <c:v>0.909178048318175</c:v>
                </c:pt>
                <c:pt idx="5" c:formatCode="0.00%">
                  <c:v>0.821037265094259</c:v>
                </c:pt>
                <c:pt idx="6" c:formatCode="0.00%">
                  <c:v>0.342869923482949</c:v>
                </c:pt>
                <c:pt idx="7" c:formatCode="0.00%">
                  <c:v>0.293108464293586</c:v>
                </c:pt>
                <c:pt idx="8" c:formatCode="0.00%">
                  <c:v>0.284574695348778</c:v>
                </c:pt>
                <c:pt idx="9" c:formatCode="0.00%">
                  <c:v>0.283426985890065</c:v>
                </c:pt>
                <c:pt idx="10" c:formatCode="0.00%">
                  <c:v>0.245187708495535</c:v>
                </c:pt>
                <c:pt idx="11" c:formatCode="0.00%">
                  <c:v>0.245123805366504</c:v>
                </c:pt>
                <c:pt idx="12" c:formatCode="0.00%">
                  <c:v>0.206425305268643</c:v>
                </c:pt>
                <c:pt idx="13" c:formatCode="0.00%">
                  <c:v>0.162899525758518</c:v>
                </c:pt>
                <c:pt idx="14" c:formatCode="0.00%">
                  <c:v>0.132614289357073</c:v>
                </c:pt>
                <c:pt idx="15" c:formatCode="0.00%">
                  <c:v>0.0410503359081867</c:v>
                </c:pt>
                <c:pt idx="16" c:formatCode="0.00%">
                  <c:v>0.0394737345791251</c:v>
                </c:pt>
                <c:pt idx="17" c:formatCode="0.00%">
                  <c:v>0.0382392773945303</c:v>
                </c:pt>
                <c:pt idx="18" c:formatCode="0.00%">
                  <c:v>-2.53625974128376e-16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ft'!$C$10:$U$10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0.999932735809906</c:v>
                </c:pt>
                <c:pt idx="2" c:formatCode="0.00%">
                  <c:v>0.966475313098177</c:v>
                </c:pt>
                <c:pt idx="3" c:formatCode="0.00%">
                  <c:v>0.911645149921474</c:v>
                </c:pt>
                <c:pt idx="4" c:formatCode="0.00%">
                  <c:v>0.900235619913856</c:v>
                </c:pt>
                <c:pt idx="5" c:formatCode="0.00%">
                  <c:v>0.794297781809386</c:v>
                </c:pt>
                <c:pt idx="6" c:formatCode="0.00%">
                  <c:v>0.368590575555322</c:v>
                </c:pt>
                <c:pt idx="7" c:formatCode="0.00%">
                  <c:v>0.303046353330401</c:v>
                </c:pt>
                <c:pt idx="8" c:formatCode="0.00%">
                  <c:v>0.291636823322784</c:v>
                </c:pt>
                <c:pt idx="9" c:formatCode="0.00%">
                  <c:v>0.281408890193216</c:v>
                </c:pt>
                <c:pt idx="10" c:formatCode="0.00%">
                  <c:v>0.248434804135475</c:v>
                </c:pt>
                <c:pt idx="11" c:formatCode="0.00%">
                  <c:v>0.248367539945381</c:v>
                </c:pt>
                <c:pt idx="12" c:formatCode="0.00%">
                  <c:v>0.214910117233652</c:v>
                </c:pt>
                <c:pt idx="13" c:formatCode="0.00%">
                  <c:v>0.160079954056949</c:v>
                </c:pt>
                <c:pt idx="14" c:formatCode="0.00%">
                  <c:v>0.126010073193308</c:v>
                </c:pt>
                <c:pt idx="15" c:formatCode="0.00%">
                  <c:v>0.0444916678871486</c:v>
                </c:pt>
                <c:pt idx="16" c:formatCode="0.00%">
                  <c:v>0.0432933139652515</c:v>
                </c:pt>
                <c:pt idx="17" c:formatCode="0.00%">
                  <c:v>0.0329740860577403</c:v>
                </c:pt>
                <c:pt idx="18" c:formatCode="0.00%">
                  <c:v>-1.52453210999354e-16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ft'!$C$14:$U$14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0.999937530281116</c:v>
                </c:pt>
                <c:pt idx="2" c:formatCode="0.00%">
                  <c:v>0.973428573720926</c:v>
                </c:pt>
                <c:pt idx="3" c:formatCode="0.00%">
                  <c:v>0.928991179684722</c:v>
                </c:pt>
                <c:pt idx="4" c:formatCode="0.00%">
                  <c:v>0.919655675147279</c:v>
                </c:pt>
                <c:pt idx="5" c:formatCode="0.00%">
                  <c:v>0.824152260672293</c:v>
                </c:pt>
                <c:pt idx="6" c:formatCode="0.00%">
                  <c:v>0.324587753844194</c:v>
                </c:pt>
                <c:pt idx="7" c:formatCode="0.00%">
                  <c:v>0.266604399078131</c:v>
                </c:pt>
                <c:pt idx="8" c:formatCode="0.00%">
                  <c:v>0.257268894540688</c:v>
                </c:pt>
                <c:pt idx="9" c:formatCode="0.00%">
                  <c:v>0.254260780213323</c:v>
                </c:pt>
                <c:pt idx="10" c:formatCode="0.00%">
                  <c:v>0.228200767550905</c:v>
                </c:pt>
                <c:pt idx="11" c:formatCode="0.00%">
                  <c:v>0.228138297832022</c:v>
                </c:pt>
                <c:pt idx="12" c:formatCode="0.00%">
                  <c:v>0.201629341271831</c:v>
                </c:pt>
                <c:pt idx="13" c:formatCode="0.00%">
                  <c:v>0.157191947235627</c:v>
                </c:pt>
                <c:pt idx="14" c:formatCode="0.00%">
                  <c:v>0.126028767791803</c:v>
                </c:pt>
                <c:pt idx="15" c:formatCode="0.00%">
                  <c:v>0.030367477120215</c:v>
                </c:pt>
                <c:pt idx="16" c:formatCode="0.00%">
                  <c:v>0.0291529359259047</c:v>
                </c:pt>
                <c:pt idx="17" c:formatCode="0.00%">
                  <c:v>0.0260600126624174</c:v>
                </c:pt>
                <c:pt idx="18" c:formatCode="0.00%">
                  <c:v>-1.58780495069541e-16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ft'!$C$20:$U$20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0.999954580413863</c:v>
                </c:pt>
                <c:pt idx="2" c:formatCode="0.00%">
                  <c:v>0.972449356722621</c:v>
                </c:pt>
                <c:pt idx="3" c:formatCode="0.00%">
                  <c:v>0.941513111164415</c:v>
                </c:pt>
                <c:pt idx="4" c:formatCode="0.00%">
                  <c:v>0.93544767650512</c:v>
                </c:pt>
                <c:pt idx="5" c:formatCode="0.00%">
                  <c:v>0.872801011834282</c:v>
                </c:pt>
                <c:pt idx="6" c:formatCode="0.00%">
                  <c:v>0.243697143779452</c:v>
                </c:pt>
                <c:pt idx="7" c:formatCode="0.00%">
                  <c:v>0.208328846229292</c:v>
                </c:pt>
                <c:pt idx="8" c:formatCode="0.00%">
                  <c:v>0.202263411569997</c:v>
                </c:pt>
                <c:pt idx="9" c:formatCode="0.00%">
                  <c:v>0.201447669220432</c:v>
                </c:pt>
                <c:pt idx="10" c:formatCode="0.00%">
                  <c:v>0.174268841207246</c:v>
                </c:pt>
                <c:pt idx="11" c:formatCode="0.00%">
                  <c:v>0.17422342162111</c:v>
                </c:pt>
                <c:pt idx="12" c:formatCode="0.00%">
                  <c:v>0.146718197929867</c:v>
                </c:pt>
                <c:pt idx="13" c:formatCode="0.00%">
                  <c:v>0.115781952371661</c:v>
                </c:pt>
                <c:pt idx="14" c:formatCode="0.00%">
                  <c:v>0.094256513410012</c:v>
                </c:pt>
                <c:pt idx="15" c:formatCode="0.00%">
                  <c:v>0.0291768070829627</c:v>
                </c:pt>
                <c:pt idx="16" c:formatCode="0.00%">
                  <c:v>0.0280562269023849</c:v>
                </c:pt>
                <c:pt idx="17" c:formatCode="0.00%">
                  <c:v>0.0271788280131856</c:v>
                </c:pt>
                <c:pt idx="18" c:formatCode="0.00%">
                  <c:v>-1.80266396234198e-16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ft'!$C$24:$U$24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0.999950624685144</c:v>
                </c:pt>
                <c:pt idx="2" c:formatCode="0.00%">
                  <c:v>0.975391185578641</c:v>
                </c:pt>
                <c:pt idx="3" c:formatCode="0.00%">
                  <c:v>0.935143074857734</c:v>
                </c:pt>
                <c:pt idx="4" c:formatCode="0.00%">
                  <c:v>0.926767903229297</c:v>
                </c:pt>
                <c:pt idx="5" c:formatCode="0.00%">
                  <c:v>0.849004176285403</c:v>
                </c:pt>
                <c:pt idx="6" c:formatCode="0.00%">
                  <c:v>0.27056410990104</c:v>
                </c:pt>
                <c:pt idx="7" c:formatCode="0.00%">
                  <c:v>0.222451338382877</c:v>
                </c:pt>
                <c:pt idx="8" c:formatCode="0.00%">
                  <c:v>0.21407616675444</c:v>
                </c:pt>
                <c:pt idx="9" c:formatCode="0.00%">
                  <c:v>0.206568346948793</c:v>
                </c:pt>
                <c:pt idx="10" c:formatCode="0.00%">
                  <c:v>0.182363701372678</c:v>
                </c:pt>
                <c:pt idx="11" c:formatCode="0.00%">
                  <c:v>0.182314326057821</c:v>
                </c:pt>
                <c:pt idx="12" c:formatCode="0.00%">
                  <c:v>0.157754886951318</c:v>
                </c:pt>
                <c:pt idx="13" c:formatCode="0.00%">
                  <c:v>0.117506776230411</c:v>
                </c:pt>
                <c:pt idx="14" c:formatCode="0.00%">
                  <c:v>0.0924977618886385</c:v>
                </c:pt>
                <c:pt idx="15" c:formatCode="0.00%">
                  <c:v>0.032659132702356</c:v>
                </c:pt>
                <c:pt idx="16" c:formatCode="0.00%">
                  <c:v>0.0317794803625315</c:v>
                </c:pt>
                <c:pt idx="17" c:formatCode="0.00%">
                  <c:v>0.0242046455761149</c:v>
                </c:pt>
                <c:pt idx="18" c:formatCode="0.00%">
                  <c:v>-1.67862542090708e-16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ft'!$C$28:$U$28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0.999956166561927</c:v>
                </c:pt>
                <c:pt idx="2" c:formatCode="0.00%">
                  <c:v>0.981355495284132</c:v>
                </c:pt>
                <c:pt idx="3" c:formatCode="0.00%">
                  <c:v>0.950174888192621</c:v>
                </c:pt>
                <c:pt idx="4" c:formatCode="0.00%">
                  <c:v>0.94362439833388</c:v>
                </c:pt>
                <c:pt idx="5" c:formatCode="0.00%">
                  <c:v>0.876612042924015</c:v>
                </c:pt>
                <c:pt idx="6" c:formatCode="0.00%">
                  <c:v>0.227755102180079</c:v>
                </c:pt>
                <c:pt idx="7" c:formatCode="0.00%">
                  <c:v>0.187069633510712</c:v>
                </c:pt>
                <c:pt idx="8" c:formatCode="0.00%">
                  <c:v>0.180519143651971</c:v>
                </c:pt>
                <c:pt idx="9" c:formatCode="0.00%">
                  <c:v>0.178408425123978</c:v>
                </c:pt>
                <c:pt idx="10" c:formatCode="0.00%">
                  <c:v>0.160122766541824</c:v>
                </c:pt>
                <c:pt idx="11" c:formatCode="0.00%">
                  <c:v>0.160078933103751</c:v>
                </c:pt>
                <c:pt idx="12" c:formatCode="0.00%">
                  <c:v>0.141478261825957</c:v>
                </c:pt>
                <c:pt idx="13" c:formatCode="0.00%">
                  <c:v>0.110297654734445</c:v>
                </c:pt>
                <c:pt idx="14" c:formatCode="0.00%">
                  <c:v>0.0884312317581448</c:v>
                </c:pt>
                <c:pt idx="15" c:formatCode="0.00%">
                  <c:v>0.0213080985728925</c:v>
                </c:pt>
                <c:pt idx="16" c:formatCode="0.00%">
                  <c:v>0.0204558854177873</c:v>
                </c:pt>
                <c:pt idx="17" c:formatCode="0.00%">
                  <c:v>0.0182856585821537</c:v>
                </c:pt>
                <c:pt idx="18" c:formatCode="0.00%">
                  <c:v>3.11954437163245e-17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ft'!$C$34:$U$34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0.99996477034931</c:v>
                </c:pt>
                <c:pt idx="2" c:formatCode="0.00%">
                  <c:v>0.978630374657634</c:v>
                </c:pt>
                <c:pt idx="3" c:formatCode="0.00%">
                  <c:v>0.954634710729849</c:v>
                </c:pt>
                <c:pt idx="4" c:formatCode="0.00%">
                  <c:v>0.949930063186676</c:v>
                </c:pt>
                <c:pt idx="5" c:formatCode="0.00%">
                  <c:v>0.901338248487967</c:v>
                </c:pt>
                <c:pt idx="6" c:formatCode="0.00%">
                  <c:v>0.189023414340653</c:v>
                </c:pt>
                <c:pt idx="7" c:formatCode="0.00%">
                  <c:v>0.161590034290874</c:v>
                </c:pt>
                <c:pt idx="8" c:formatCode="0.00%">
                  <c:v>0.156885386747701</c:v>
                </c:pt>
                <c:pt idx="9" c:formatCode="0.00%">
                  <c:v>0.156252657115562</c:v>
                </c:pt>
                <c:pt idx="10" c:formatCode="0.00%">
                  <c:v>0.135171429862939</c:v>
                </c:pt>
                <c:pt idx="11" c:formatCode="0.00%">
                  <c:v>0.135136200212249</c:v>
                </c:pt>
                <c:pt idx="12" c:formatCode="0.00%">
                  <c:v>0.113801804520573</c:v>
                </c:pt>
                <c:pt idx="13" c:formatCode="0.00%">
                  <c:v>0.0898061405927879</c:v>
                </c:pt>
                <c:pt idx="14" c:formatCode="0.00%">
                  <c:v>0.073109958173044</c:v>
                </c:pt>
                <c:pt idx="15" c:formatCode="0.00%">
                  <c:v>0.0226309574615752</c:v>
                </c:pt>
                <c:pt idx="16" c:formatCode="0.00%">
                  <c:v>0.0217617807100948</c:v>
                </c:pt>
                <c:pt idx="17" c:formatCode="0.00%">
                  <c:v>0.0210812272526229</c:v>
                </c:pt>
                <c:pt idx="18" c:formatCode="0.00%">
                  <c:v>-1.39823426645947e-16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ft'!$C$38:$U$38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0.999960997403995</c:v>
                </c:pt>
                <c:pt idx="2" c:formatCode="0.00%">
                  <c:v>0.980560981740751</c:v>
                </c:pt>
                <c:pt idx="3" c:formatCode="0.00%">
                  <c:v>0.948768155568479</c:v>
                </c:pt>
                <c:pt idx="4" c:formatCode="0.00%">
                  <c:v>0.942152431973594</c:v>
                </c:pt>
                <c:pt idx="5" c:formatCode="0.00%">
                  <c:v>0.880725234300164</c:v>
                </c:pt>
                <c:pt idx="6" c:formatCode="0.00%">
                  <c:v>0.213724260852597</c:v>
                </c:pt>
                <c:pt idx="7" c:formatCode="0.00%">
                  <c:v>0.175718974290198</c:v>
                </c:pt>
                <c:pt idx="8" c:formatCode="0.00%">
                  <c:v>0.169103250695313</c:v>
                </c:pt>
                <c:pt idx="9" c:formatCode="0.00%">
                  <c:v>0.163172666483079</c:v>
                </c:pt>
                <c:pt idx="10" c:formatCode="0.00%">
                  <c:v>0.144052909665198</c:v>
                </c:pt>
                <c:pt idx="11" c:formatCode="0.00%">
                  <c:v>0.144013907069193</c:v>
                </c:pt>
                <c:pt idx="12" c:formatCode="0.00%">
                  <c:v>0.124613891405949</c:v>
                </c:pt>
                <c:pt idx="13" c:formatCode="0.00%">
                  <c:v>0.0928210652336773</c:v>
                </c:pt>
                <c:pt idx="14" c:formatCode="0.00%">
                  <c:v>0.0730659206699643</c:v>
                </c:pt>
                <c:pt idx="15" c:formatCode="0.00%">
                  <c:v>0.0257981333867638</c:v>
                </c:pt>
                <c:pt idx="16" c:formatCode="0.00%">
                  <c:v>0.0251032775679155</c:v>
                </c:pt>
                <c:pt idx="17" c:formatCode="0.00%">
                  <c:v>0.0191197568178813</c:v>
                </c:pt>
                <c:pt idx="18" c:formatCode="0.00%">
                  <c:v>4.86193180129297e-16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ft'!$C$42:$U$42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0.999966238471081</c:v>
                </c:pt>
                <c:pt idx="2" c:formatCode="0.00%">
                  <c:v>0.985639570775028</c:v>
                </c:pt>
                <c:pt idx="3" c:formatCode="0.00%">
                  <c:v>0.9616235452408</c:v>
                </c:pt>
                <c:pt idx="4" c:formatCode="0.00%">
                  <c:v>0.956578206282277</c:v>
                </c:pt>
                <c:pt idx="5" c:formatCode="0.00%">
                  <c:v>0.904963738548896</c:v>
                </c:pt>
                <c:pt idx="6" c:formatCode="0.00%">
                  <c:v>0.17542225311567</c:v>
                </c:pt>
                <c:pt idx="7" c:formatCode="0.00%">
                  <c:v>0.144085363119659</c:v>
                </c:pt>
                <c:pt idx="8" c:formatCode="0.00%">
                  <c:v>0.139040024161135</c:v>
                </c:pt>
                <c:pt idx="9" c:formatCode="0.00%">
                  <c:v>0.137414299879531</c:v>
                </c:pt>
                <c:pt idx="10" c:formatCode="0.00%">
                  <c:v>0.123330262255429</c:v>
                </c:pt>
                <c:pt idx="11" c:formatCode="0.00%">
                  <c:v>0.123296500726511</c:v>
                </c:pt>
                <c:pt idx="12" c:formatCode="0.00%">
                  <c:v>0.108969833030457</c:v>
                </c:pt>
                <c:pt idx="13" c:formatCode="0.00%">
                  <c:v>0.0849538074962297</c:v>
                </c:pt>
                <c:pt idx="14" c:formatCode="0.00%">
                  <c:v>0.068111782227132</c:v>
                </c:pt>
                <c:pt idx="15" c:formatCode="0.00%">
                  <c:v>0.0164119908862113</c:v>
                </c:pt>
                <c:pt idx="16" c:formatCode="0.00%">
                  <c:v>0.0157555965820997</c:v>
                </c:pt>
                <c:pt idx="17" c:formatCode="0.00%">
                  <c:v>0.0140840376241014</c:v>
                </c:pt>
                <c:pt idx="18" c:formatCode="0.00%">
                  <c:v>2.40274530461841e-17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31e2b4-ca36-4ecf-9fc7-4f8d4d8dea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316932156642964"/>
          <c:y val="0.0368672438057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ft'!$C$5:$U$5</c:f>
              <c:numCache>
                <c:formatCode>0.00_ </c:formatCode>
                <c:ptCount val="19"/>
                <c:pt idx="0">
                  <c:v>64.78556</c:v>
                </c:pt>
                <c:pt idx="1">
                  <c:v>64.78142</c:v>
                </c:pt>
                <c:pt idx="2">
                  <c:v>62.274316</c:v>
                </c:pt>
                <c:pt idx="3">
                  <c:v>59.454474</c:v>
                </c:pt>
                <c:pt idx="4">
                  <c:v>58.901609</c:v>
                </c:pt>
                <c:pt idx="5">
                  <c:v>53.191359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ft'!$C$19:$U$19</c:f>
              <c:numCache>
                <c:formatCode>0.00_ </c:formatCode>
                <c:ptCount val="19"/>
                <c:pt idx="0">
                  <c:v>91.150104</c:v>
                </c:pt>
                <c:pt idx="1">
                  <c:v>91.145964</c:v>
                </c:pt>
                <c:pt idx="2">
                  <c:v>88.63886</c:v>
                </c:pt>
                <c:pt idx="3">
                  <c:v>85.819018</c:v>
                </c:pt>
                <c:pt idx="4">
                  <c:v>85.266153</c:v>
                </c:pt>
                <c:pt idx="5">
                  <c:v>79.555903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ft'!$C$33:$U$33</c:f>
              <c:numCache>
                <c:formatCode>0.00_ </c:formatCode>
                <c:ptCount val="19"/>
                <c:pt idx="0">
                  <c:v>117.514648</c:v>
                </c:pt>
                <c:pt idx="1">
                  <c:v>117.510508</c:v>
                </c:pt>
                <c:pt idx="2">
                  <c:v>115.003404</c:v>
                </c:pt>
                <c:pt idx="3">
                  <c:v>112.183562</c:v>
                </c:pt>
                <c:pt idx="4">
                  <c:v>111.630697</c:v>
                </c:pt>
                <c:pt idx="5">
                  <c:v>105.920447</c:v>
                </c:pt>
                <c:pt idx="6">
                  <c:v>22.21302</c:v>
                </c:pt>
                <c:pt idx="7">
                  <c:v>18.989196</c:v>
                </c:pt>
                <c:pt idx="8">
                  <c:v>18.436331</c:v>
                </c:pt>
                <c:pt idx="9">
                  <c:v>18.361976</c:v>
                </c:pt>
                <c:pt idx="10">
                  <c:v>15.884623</c:v>
                </c:pt>
                <c:pt idx="11">
                  <c:v>15.880483</c:v>
                </c:pt>
                <c:pt idx="12">
                  <c:v>13.373379</c:v>
                </c:pt>
                <c:pt idx="13">
                  <c:v>10.553537</c:v>
                </c:pt>
                <c:pt idx="14">
                  <c:v>8.59149099999998</c:v>
                </c:pt>
                <c:pt idx="15">
                  <c:v>2.65946899999998</c:v>
                </c:pt>
                <c:pt idx="16">
                  <c:v>2.55732799999998</c:v>
                </c:pt>
                <c:pt idx="17">
                  <c:v>2.47735299999998</c:v>
                </c:pt>
                <c:pt idx="18">
                  <c:v>-1.64313007644523e-14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cd011d-cea1-4e41-8ba0-32eb9b9387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316932156642964"/>
          <c:y val="0.04035886391743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ft'!$C$9:$U$9</c:f>
              <c:numCache>
                <c:formatCode>0.00_ </c:formatCode>
                <c:ptCount val="19"/>
                <c:pt idx="0">
                  <c:v>46.607266</c:v>
                </c:pt>
                <c:pt idx="1">
                  <c:v>46.604131</c:v>
                </c:pt>
                <c:pt idx="2">
                  <c:v>45.044772</c:v>
                </c:pt>
                <c:pt idx="3">
                  <c:v>42.489288</c:v>
                </c:pt>
                <c:pt idx="4">
                  <c:v>41.957521</c:v>
                </c:pt>
                <c:pt idx="5">
                  <c:v>37.020048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7.46088899999999</c:v>
                </c:pt>
                <c:pt idx="14">
                  <c:v>5.87298499999999</c:v>
                </c:pt>
                <c:pt idx="15">
                  <c:v>2.07363499999999</c:v>
                </c:pt>
                <c:pt idx="16">
                  <c:v>2.01778299999999</c:v>
                </c:pt>
                <c:pt idx="17">
                  <c:v>1.53683199999999</c:v>
                </c:pt>
                <c:pt idx="18">
                  <c:v>-7.105427357601e-15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ft'!$C$23:$U$23</c:f>
              <c:numCache>
                <c:formatCode>0.00_ </c:formatCode>
                <c:ptCount val="19"/>
                <c:pt idx="0">
                  <c:v>63.493266</c:v>
                </c:pt>
                <c:pt idx="1">
                  <c:v>63.490131</c:v>
                </c:pt>
                <c:pt idx="2">
                  <c:v>61.930772</c:v>
                </c:pt>
                <c:pt idx="3">
                  <c:v>59.375288</c:v>
                </c:pt>
                <c:pt idx="4">
                  <c:v>58.843521</c:v>
                </c:pt>
                <c:pt idx="5">
                  <c:v>53.906048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7.46088899999999</c:v>
                </c:pt>
                <c:pt idx="14">
                  <c:v>5.87298499999999</c:v>
                </c:pt>
                <c:pt idx="15">
                  <c:v>2.07363499999999</c:v>
                </c:pt>
                <c:pt idx="16">
                  <c:v>2.01778299999999</c:v>
                </c:pt>
                <c:pt idx="17">
                  <c:v>1.53683199999999</c:v>
                </c:pt>
                <c:pt idx="18">
                  <c:v>-1.06581410364015e-14</c:v>
                </c:pt>
              </c:numCache>
            </c:numRef>
          </c:val>
          <c:smooth val="0"/>
        </c:ser>
        <c:ser>
          <c:idx val="7"/>
          <c:order val="2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ft'!$C$37:$U$37</c:f>
              <c:numCache>
                <c:formatCode>0.00_ </c:formatCode>
                <c:ptCount val="19"/>
                <c:pt idx="0">
                  <c:v>80.379265</c:v>
                </c:pt>
                <c:pt idx="1">
                  <c:v>80.37613</c:v>
                </c:pt>
                <c:pt idx="2">
                  <c:v>78.816771</c:v>
                </c:pt>
                <c:pt idx="3">
                  <c:v>76.261287</c:v>
                </c:pt>
                <c:pt idx="4">
                  <c:v>75.72952</c:v>
                </c:pt>
                <c:pt idx="5">
                  <c:v>70.792047</c:v>
                </c:pt>
                <c:pt idx="6">
                  <c:v>17.178999</c:v>
                </c:pt>
                <c:pt idx="7">
                  <c:v>14.124162</c:v>
                </c:pt>
                <c:pt idx="8">
                  <c:v>13.592395</c:v>
                </c:pt>
                <c:pt idx="9">
                  <c:v>13.115699</c:v>
                </c:pt>
                <c:pt idx="10">
                  <c:v>11.578867</c:v>
                </c:pt>
                <c:pt idx="11">
                  <c:v>11.575732</c:v>
                </c:pt>
                <c:pt idx="12">
                  <c:v>10.016373</c:v>
                </c:pt>
                <c:pt idx="13">
                  <c:v>7.46088900000004</c:v>
                </c:pt>
                <c:pt idx="14">
                  <c:v>5.87298500000004</c:v>
                </c:pt>
                <c:pt idx="15">
                  <c:v>2.07363500000004</c:v>
                </c:pt>
                <c:pt idx="16">
                  <c:v>2.01778300000004</c:v>
                </c:pt>
                <c:pt idx="17">
                  <c:v>1.53683200000004</c:v>
                </c:pt>
                <c:pt idx="18">
                  <c:v>3.90798504668055e-14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16731a-88d7-4f09-b273-18cb4e8f95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Energy Remains VS. Flight Time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323135203027966"/>
          <c:y val="0.036886777344792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ft'!$C$13:$U$13</c:f>
              <c:numCache>
                <c:formatCode>0.00_ </c:formatCode>
                <c:ptCount val="19"/>
                <c:pt idx="0">
                  <c:v>69.921877</c:v>
                </c:pt>
                <c:pt idx="1">
                  <c:v>69.917509</c:v>
                </c:pt>
                <c:pt idx="2">
                  <c:v>68.063953</c:v>
                </c:pt>
                <c:pt idx="3">
                  <c:v>64.956807</c:v>
                </c:pt>
                <c:pt idx="4">
                  <c:v>64.304051</c:v>
                </c:pt>
                <c:pt idx="5">
                  <c:v>57.626273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8.81216799999999</c:v>
                </c:pt>
                <c:pt idx="15">
                  <c:v>2.12335099999999</c:v>
                </c:pt>
                <c:pt idx="16">
                  <c:v>2.03842799999999</c:v>
                </c:pt>
                <c:pt idx="17">
                  <c:v>1.82216499999999</c:v>
                </c:pt>
                <c:pt idx="18">
                  <c:v>-1.11022302462516e-14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ft'!$C$27:$U$27</c:f>
              <c:numCache>
                <c:formatCode>0.00_ </c:formatCode>
                <c:ptCount val="19"/>
                <c:pt idx="0">
                  <c:v>99.649952</c:v>
                </c:pt>
                <c:pt idx="1">
                  <c:v>99.645584</c:v>
                </c:pt>
                <c:pt idx="2">
                  <c:v>97.792028</c:v>
                </c:pt>
                <c:pt idx="3">
                  <c:v>94.684882</c:v>
                </c:pt>
                <c:pt idx="4">
                  <c:v>94.032126</c:v>
                </c:pt>
                <c:pt idx="5">
                  <c:v>87.354348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8.812168</c:v>
                </c:pt>
                <c:pt idx="15">
                  <c:v>2.123351</c:v>
                </c:pt>
                <c:pt idx="16">
                  <c:v>2.038428</c:v>
                </c:pt>
                <c:pt idx="17">
                  <c:v>1.822165</c:v>
                </c:pt>
                <c:pt idx="18">
                  <c:v>3.10862446895044e-15</c:v>
                </c:pt>
              </c:numCache>
            </c:numRef>
          </c:val>
          <c:smooth val="0"/>
        </c:ser>
        <c:ser>
          <c:idx val="8"/>
          <c:order val="2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ft'!$C$41:$U$41</c:f>
              <c:numCache>
                <c:formatCode>0.00_ </c:formatCode>
                <c:ptCount val="19"/>
                <c:pt idx="0">
                  <c:v>129.378027</c:v>
                </c:pt>
                <c:pt idx="1">
                  <c:v>129.373659</c:v>
                </c:pt>
                <c:pt idx="2">
                  <c:v>127.520103</c:v>
                </c:pt>
                <c:pt idx="3">
                  <c:v>124.412957</c:v>
                </c:pt>
                <c:pt idx="4">
                  <c:v>123.760201</c:v>
                </c:pt>
                <c:pt idx="5">
                  <c:v>117.082423</c:v>
                </c:pt>
                <c:pt idx="6">
                  <c:v>22.695785</c:v>
                </c:pt>
                <c:pt idx="7">
                  <c:v>18.64148</c:v>
                </c:pt>
                <c:pt idx="8">
                  <c:v>17.988724</c:v>
                </c:pt>
                <c:pt idx="9">
                  <c:v>17.778391</c:v>
                </c:pt>
                <c:pt idx="10">
                  <c:v>15.956226</c:v>
                </c:pt>
                <c:pt idx="11">
                  <c:v>15.951858</c:v>
                </c:pt>
                <c:pt idx="12">
                  <c:v>14.098302</c:v>
                </c:pt>
                <c:pt idx="13">
                  <c:v>10.991156</c:v>
                </c:pt>
                <c:pt idx="14">
                  <c:v>8.812168</c:v>
                </c:pt>
                <c:pt idx="15">
                  <c:v>2.123351</c:v>
                </c:pt>
                <c:pt idx="16">
                  <c:v>2.038428</c:v>
                </c:pt>
                <c:pt idx="17">
                  <c:v>1.822165</c:v>
                </c:pt>
                <c:pt idx="18">
                  <c:v>3.10862446895044e-15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573136"/>
        <c:axId val="896156482"/>
      </c:lineChart>
      <c:catAx>
        <c:axId val="2455731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400903884633961"/>
              <c:y val="0.93240581137650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56482"/>
        <c:crosses val="autoZero"/>
        <c:auto val="1"/>
        <c:lblAlgn val="ctr"/>
        <c:lblOffset val="100"/>
        <c:noMultiLvlLbl val="0"/>
      </c:catAx>
      <c:valAx>
        <c:axId val="89615648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Energy (kW)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765886979921341"/>
              <c:y val="0.4054050726422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5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ac998-5d0b-4cc9-9729-9a03873bd6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368689452260708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- Archer Midnight"</c:f>
              <c:strCache>
                <c:ptCount val="1"/>
                <c:pt idx="0">
                  <c:v>30 mi - 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ft'!$C$6:$U$6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0.999936096870969</c:v>
                </c:pt>
                <c:pt idx="2" c:formatCode="0.00%">
                  <c:v>0.961237596773108</c:v>
                </c:pt>
                <c:pt idx="3" c:formatCode="0.00%">
                  <c:v>0.917711817262983</c:v>
                </c:pt>
                <c:pt idx="4" c:formatCode="0.00%">
                  <c:v>0.909178048318175</c:v>
                </c:pt>
                <c:pt idx="5" c:formatCode="0.00%">
                  <c:v>0.821037265094259</c:v>
                </c:pt>
                <c:pt idx="6" c:formatCode="0.00%">
                  <c:v>0.342869923482949</c:v>
                </c:pt>
                <c:pt idx="7" c:formatCode="0.00%">
                  <c:v>0.293108464293586</c:v>
                </c:pt>
                <c:pt idx="8" c:formatCode="0.00%">
                  <c:v>0.284574695348778</c:v>
                </c:pt>
                <c:pt idx="9" c:formatCode="0.00%">
                  <c:v>0.283426985890065</c:v>
                </c:pt>
                <c:pt idx="10" c:formatCode="0.00%">
                  <c:v>0.245187708495535</c:v>
                </c:pt>
                <c:pt idx="11" c:formatCode="0.00%">
                  <c:v>0.245123805366504</c:v>
                </c:pt>
                <c:pt idx="12" c:formatCode="0.00%">
                  <c:v>0.206425305268643</c:v>
                </c:pt>
                <c:pt idx="13" c:formatCode="0.00%">
                  <c:v>0.162899525758518</c:v>
                </c:pt>
                <c:pt idx="14" c:formatCode="0.00%">
                  <c:v>0.132614289357073</c:v>
                </c:pt>
                <c:pt idx="15" c:formatCode="0.00%">
                  <c:v>0.0410503359081867</c:v>
                </c:pt>
                <c:pt idx="16" c:formatCode="0.00%">
                  <c:v>0.0394737345791251</c:v>
                </c:pt>
                <c:pt idx="17" c:formatCode="0.00%">
                  <c:v>0.0382392773945303</c:v>
                </c:pt>
                <c:pt idx="18" c:formatCode="0.00%">
                  <c:v>-2.53625974128376e-16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"45 mi - Archer Midnight"</c:f>
              <c:strCache>
                <c:ptCount val="1"/>
                <c:pt idx="0">
                  <c:v>45 mi - Archer Midnight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ft'!$C$20:$U$20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0.999954580413863</c:v>
                </c:pt>
                <c:pt idx="2" c:formatCode="0.00%">
                  <c:v>0.972449356722621</c:v>
                </c:pt>
                <c:pt idx="3" c:formatCode="0.00%">
                  <c:v>0.941513111164415</c:v>
                </c:pt>
                <c:pt idx="4" c:formatCode="0.00%">
                  <c:v>0.93544767650512</c:v>
                </c:pt>
                <c:pt idx="5" c:formatCode="0.00%">
                  <c:v>0.872801011834282</c:v>
                </c:pt>
                <c:pt idx="6" c:formatCode="0.00%">
                  <c:v>0.243697143779452</c:v>
                </c:pt>
                <c:pt idx="7" c:formatCode="0.00%">
                  <c:v>0.208328846229292</c:v>
                </c:pt>
                <c:pt idx="8" c:formatCode="0.00%">
                  <c:v>0.202263411569997</c:v>
                </c:pt>
                <c:pt idx="9" c:formatCode="0.00%">
                  <c:v>0.201447669220432</c:v>
                </c:pt>
                <c:pt idx="10" c:formatCode="0.00%">
                  <c:v>0.174268841207246</c:v>
                </c:pt>
                <c:pt idx="11" c:formatCode="0.00%">
                  <c:v>0.17422342162111</c:v>
                </c:pt>
                <c:pt idx="12" c:formatCode="0.00%">
                  <c:v>0.146718197929867</c:v>
                </c:pt>
                <c:pt idx="13" c:formatCode="0.00%">
                  <c:v>0.115781952371661</c:v>
                </c:pt>
                <c:pt idx="14" c:formatCode="0.00%">
                  <c:v>0.094256513410012</c:v>
                </c:pt>
                <c:pt idx="15" c:formatCode="0.00%">
                  <c:v>0.0291768070829627</c:v>
                </c:pt>
                <c:pt idx="16" c:formatCode="0.00%">
                  <c:v>0.0280562269023849</c:v>
                </c:pt>
                <c:pt idx="17" c:formatCode="0.00%">
                  <c:v>0.0271788280131856</c:v>
                </c:pt>
                <c:pt idx="18" c:formatCode="0.00%">
                  <c:v>-1.80266396234198e-16</c:v>
                </c:pt>
              </c:numCache>
            </c:numRef>
          </c:val>
          <c:smooth val="0"/>
        </c:ser>
        <c:ser>
          <c:idx val="6"/>
          <c:order val="2"/>
          <c:tx>
            <c:strRef>
              <c:f>"60 mi - Archer Midnight"</c:f>
              <c:strCache>
                <c:ptCount val="1"/>
                <c:pt idx="0">
                  <c:v>60 mi - Archer Midnight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ft'!$C$34:$U$34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0.99996477034931</c:v>
                </c:pt>
                <c:pt idx="2" c:formatCode="0.00%">
                  <c:v>0.978630374657634</c:v>
                </c:pt>
                <c:pt idx="3" c:formatCode="0.00%">
                  <c:v>0.954634710729849</c:v>
                </c:pt>
                <c:pt idx="4" c:formatCode="0.00%">
                  <c:v>0.949930063186676</c:v>
                </c:pt>
                <c:pt idx="5" c:formatCode="0.00%">
                  <c:v>0.901338248487967</c:v>
                </c:pt>
                <c:pt idx="6" c:formatCode="0.00%">
                  <c:v>0.189023414340653</c:v>
                </c:pt>
                <c:pt idx="7" c:formatCode="0.00%">
                  <c:v>0.161590034290874</c:v>
                </c:pt>
                <c:pt idx="8" c:formatCode="0.00%">
                  <c:v>0.156885386747701</c:v>
                </c:pt>
                <c:pt idx="9" c:formatCode="0.00%">
                  <c:v>0.156252657115562</c:v>
                </c:pt>
                <c:pt idx="10" c:formatCode="0.00%">
                  <c:v>0.135171429862939</c:v>
                </c:pt>
                <c:pt idx="11" c:formatCode="0.00%">
                  <c:v>0.135136200212249</c:v>
                </c:pt>
                <c:pt idx="12" c:formatCode="0.00%">
                  <c:v>0.113801804520573</c:v>
                </c:pt>
                <c:pt idx="13" c:formatCode="0.00%">
                  <c:v>0.0898061405927879</c:v>
                </c:pt>
                <c:pt idx="14" c:formatCode="0.00%">
                  <c:v>0.073109958173044</c:v>
                </c:pt>
                <c:pt idx="15" c:formatCode="0.00%">
                  <c:v>0.0226309574615752</c:v>
                </c:pt>
                <c:pt idx="16" c:formatCode="0.00%">
                  <c:v>0.0217617807100948</c:v>
                </c:pt>
                <c:pt idx="17" c:formatCode="0.00%">
                  <c:v>0.0210812272526229</c:v>
                </c:pt>
                <c:pt idx="18" c:formatCode="0.00%">
                  <c:v>-1.39823426645947e-16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69b61-3103-404f-9d8b-a97f7ea377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364169599677438"/>
          <c:y val="0.07114783752110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"30 mi - Joby S4"</c:f>
              <c:strCache>
                <c:ptCount val="1"/>
                <c:pt idx="0">
                  <c:v>30 mi - 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ft'!$C$10:$U$10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0.999932735809906</c:v>
                </c:pt>
                <c:pt idx="2" c:formatCode="0.00%">
                  <c:v>0.966475313098177</c:v>
                </c:pt>
                <c:pt idx="3" c:formatCode="0.00%">
                  <c:v>0.911645149921474</c:v>
                </c:pt>
                <c:pt idx="4" c:formatCode="0.00%">
                  <c:v>0.900235619913856</c:v>
                </c:pt>
                <c:pt idx="5" c:formatCode="0.00%">
                  <c:v>0.794297781809386</c:v>
                </c:pt>
                <c:pt idx="6" c:formatCode="0.00%">
                  <c:v>0.368590575555322</c:v>
                </c:pt>
                <c:pt idx="7" c:formatCode="0.00%">
                  <c:v>0.303046353330401</c:v>
                </c:pt>
                <c:pt idx="8" c:formatCode="0.00%">
                  <c:v>0.291636823322784</c:v>
                </c:pt>
                <c:pt idx="9" c:formatCode="0.00%">
                  <c:v>0.281408890193216</c:v>
                </c:pt>
                <c:pt idx="10" c:formatCode="0.00%">
                  <c:v>0.248434804135475</c:v>
                </c:pt>
                <c:pt idx="11" c:formatCode="0.00%">
                  <c:v>0.248367539945381</c:v>
                </c:pt>
                <c:pt idx="12" c:formatCode="0.00%">
                  <c:v>0.214910117233652</c:v>
                </c:pt>
                <c:pt idx="13" c:formatCode="0.00%">
                  <c:v>0.160079954056949</c:v>
                </c:pt>
                <c:pt idx="14" c:formatCode="0.00%">
                  <c:v>0.126010073193308</c:v>
                </c:pt>
                <c:pt idx="15" c:formatCode="0.00%">
                  <c:v>0.0444916678871486</c:v>
                </c:pt>
                <c:pt idx="16" c:formatCode="0.00%">
                  <c:v>0.0432933139652515</c:v>
                </c:pt>
                <c:pt idx="17" c:formatCode="0.00%">
                  <c:v>0.0329740860577403</c:v>
                </c:pt>
                <c:pt idx="18" c:formatCode="0.00%">
                  <c:v>-1.52453210999354e-16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- Joby S4"</c:f>
              <c:strCache>
                <c:ptCount val="1"/>
                <c:pt idx="0">
                  <c:v>45 mi - Joby S4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ft'!$C$24:$U$24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0.999950624685144</c:v>
                </c:pt>
                <c:pt idx="2" c:formatCode="0.00%">
                  <c:v>0.975391185578641</c:v>
                </c:pt>
                <c:pt idx="3" c:formatCode="0.00%">
                  <c:v>0.935143074857734</c:v>
                </c:pt>
                <c:pt idx="4" c:formatCode="0.00%">
                  <c:v>0.926767903229297</c:v>
                </c:pt>
                <c:pt idx="5" c:formatCode="0.00%">
                  <c:v>0.849004176285403</c:v>
                </c:pt>
                <c:pt idx="6" c:formatCode="0.00%">
                  <c:v>0.27056410990104</c:v>
                </c:pt>
                <c:pt idx="7" c:formatCode="0.00%">
                  <c:v>0.222451338382877</c:v>
                </c:pt>
                <c:pt idx="8" c:formatCode="0.00%">
                  <c:v>0.21407616675444</c:v>
                </c:pt>
                <c:pt idx="9" c:formatCode="0.00%">
                  <c:v>0.206568346948793</c:v>
                </c:pt>
                <c:pt idx="10" c:formatCode="0.00%">
                  <c:v>0.182363701372678</c:v>
                </c:pt>
                <c:pt idx="11" c:formatCode="0.00%">
                  <c:v>0.182314326057821</c:v>
                </c:pt>
                <c:pt idx="12" c:formatCode="0.00%">
                  <c:v>0.157754886951318</c:v>
                </c:pt>
                <c:pt idx="13" c:formatCode="0.00%">
                  <c:v>0.117506776230411</c:v>
                </c:pt>
                <c:pt idx="14" c:formatCode="0.00%">
                  <c:v>0.0924977618886385</c:v>
                </c:pt>
                <c:pt idx="15" c:formatCode="0.00%">
                  <c:v>0.032659132702356</c:v>
                </c:pt>
                <c:pt idx="16" c:formatCode="0.00%">
                  <c:v>0.0317794803625315</c:v>
                </c:pt>
                <c:pt idx="17" c:formatCode="0.00%">
                  <c:v>0.0242046455761149</c:v>
                </c:pt>
                <c:pt idx="18" c:formatCode="0.00%">
                  <c:v>-1.67862542090708e-16</c:v>
                </c:pt>
              </c:numCache>
            </c:numRef>
          </c:val>
          <c:smooth val="0"/>
        </c:ser>
        <c:ser>
          <c:idx val="7"/>
          <c:order val="2"/>
          <c:tx>
            <c:strRef>
              <c:f>"60 mi - Joby S4"</c:f>
              <c:strCache>
                <c:ptCount val="1"/>
                <c:pt idx="0">
                  <c:v>60 mi - Joby S4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ft'!$C$38:$U$38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0.999960997403995</c:v>
                </c:pt>
                <c:pt idx="2" c:formatCode="0.00%">
                  <c:v>0.980560981740751</c:v>
                </c:pt>
                <c:pt idx="3" c:formatCode="0.00%">
                  <c:v>0.948768155568479</c:v>
                </c:pt>
                <c:pt idx="4" c:formatCode="0.00%">
                  <c:v>0.942152431973594</c:v>
                </c:pt>
                <c:pt idx="5" c:formatCode="0.00%">
                  <c:v>0.880725234300164</c:v>
                </c:pt>
                <c:pt idx="6" c:formatCode="0.00%">
                  <c:v>0.213724260852597</c:v>
                </c:pt>
                <c:pt idx="7" c:formatCode="0.00%">
                  <c:v>0.175718974290198</c:v>
                </c:pt>
                <c:pt idx="8" c:formatCode="0.00%">
                  <c:v>0.169103250695313</c:v>
                </c:pt>
                <c:pt idx="9" c:formatCode="0.00%">
                  <c:v>0.163172666483079</c:v>
                </c:pt>
                <c:pt idx="10" c:formatCode="0.00%">
                  <c:v>0.144052909665198</c:v>
                </c:pt>
                <c:pt idx="11" c:formatCode="0.00%">
                  <c:v>0.144013907069193</c:v>
                </c:pt>
                <c:pt idx="12" c:formatCode="0.00%">
                  <c:v>0.124613891405949</c:v>
                </c:pt>
                <c:pt idx="13" c:formatCode="0.00%">
                  <c:v>0.0928210652336773</c:v>
                </c:pt>
                <c:pt idx="14" c:formatCode="0.00%">
                  <c:v>0.0730659206699643</c:v>
                </c:pt>
                <c:pt idx="15" c:formatCode="0.00%">
                  <c:v>0.0257981333867638</c:v>
                </c:pt>
                <c:pt idx="16" c:formatCode="0.00%">
                  <c:v>0.0251032775679155</c:v>
                </c:pt>
                <c:pt idx="17" c:formatCode="0.00%">
                  <c:v>0.0191197568178813</c:v>
                </c:pt>
                <c:pt idx="18" c:formatCode="0.00%">
                  <c:v>4.86193180129297e-16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48d575-79aa-40d0-af53-ac62cdd9f9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State of Charge (SOC)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371749044778613"/>
          <c:y val="0.06841898611946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"30 mi - Supernal S-A2"</c:f>
              <c:strCache>
                <c:ptCount val="1"/>
                <c:pt idx="0">
                  <c:v>30 mi - 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ft'!$C$14:$U$14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0.999937530281116</c:v>
                </c:pt>
                <c:pt idx="2" c:formatCode="0.00%">
                  <c:v>0.973428573720926</c:v>
                </c:pt>
                <c:pt idx="3" c:formatCode="0.00%">
                  <c:v>0.928991179684722</c:v>
                </c:pt>
                <c:pt idx="4" c:formatCode="0.00%">
                  <c:v>0.919655675147279</c:v>
                </c:pt>
                <c:pt idx="5" c:formatCode="0.00%">
                  <c:v>0.824152260672293</c:v>
                </c:pt>
                <c:pt idx="6" c:formatCode="0.00%">
                  <c:v>0.324587753844194</c:v>
                </c:pt>
                <c:pt idx="7" c:formatCode="0.00%">
                  <c:v>0.266604399078131</c:v>
                </c:pt>
                <c:pt idx="8" c:formatCode="0.00%">
                  <c:v>0.257268894540688</c:v>
                </c:pt>
                <c:pt idx="9" c:formatCode="0.00%">
                  <c:v>0.254260780213323</c:v>
                </c:pt>
                <c:pt idx="10" c:formatCode="0.00%">
                  <c:v>0.228200767550905</c:v>
                </c:pt>
                <c:pt idx="11" c:formatCode="0.00%">
                  <c:v>0.228138297832022</c:v>
                </c:pt>
                <c:pt idx="12" c:formatCode="0.00%">
                  <c:v>0.201629341271831</c:v>
                </c:pt>
                <c:pt idx="13" c:formatCode="0.00%">
                  <c:v>0.157191947235627</c:v>
                </c:pt>
                <c:pt idx="14" c:formatCode="0.00%">
                  <c:v>0.126028767791803</c:v>
                </c:pt>
                <c:pt idx="15" c:formatCode="0.00%">
                  <c:v>0.030367477120215</c:v>
                </c:pt>
                <c:pt idx="16" c:formatCode="0.00%">
                  <c:v>0.0291529359259047</c:v>
                </c:pt>
                <c:pt idx="17" c:formatCode="0.00%">
                  <c:v>0.0260600126624174</c:v>
                </c:pt>
                <c:pt idx="18" c:formatCode="0.00%">
                  <c:v>-1.58780495069541e-16</c:v>
                </c:pt>
              </c:numCache>
            </c:numRef>
          </c:val>
          <c:smooth val="0"/>
        </c:ser>
        <c:ser>
          <c:idx val="5"/>
          <c:order val="1"/>
          <c:tx>
            <c:strRef>
              <c:f>"45 mi - Supernal S-A2"</c:f>
              <c:strCache>
                <c:ptCount val="1"/>
                <c:pt idx="0">
                  <c:v>45 mi - Supernal S-A2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ft'!$C$28:$U$28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0.999956166561927</c:v>
                </c:pt>
                <c:pt idx="2" c:formatCode="0.00%">
                  <c:v>0.981355495284132</c:v>
                </c:pt>
                <c:pt idx="3" c:formatCode="0.00%">
                  <c:v>0.950174888192621</c:v>
                </c:pt>
                <c:pt idx="4" c:formatCode="0.00%">
                  <c:v>0.94362439833388</c:v>
                </c:pt>
                <c:pt idx="5" c:formatCode="0.00%">
                  <c:v>0.876612042924015</c:v>
                </c:pt>
                <c:pt idx="6" c:formatCode="0.00%">
                  <c:v>0.227755102180079</c:v>
                </c:pt>
                <c:pt idx="7" c:formatCode="0.00%">
                  <c:v>0.187069633510712</c:v>
                </c:pt>
                <c:pt idx="8" c:formatCode="0.00%">
                  <c:v>0.180519143651971</c:v>
                </c:pt>
                <c:pt idx="9" c:formatCode="0.00%">
                  <c:v>0.178408425123978</c:v>
                </c:pt>
                <c:pt idx="10" c:formatCode="0.00%">
                  <c:v>0.160122766541824</c:v>
                </c:pt>
                <c:pt idx="11" c:formatCode="0.00%">
                  <c:v>0.160078933103751</c:v>
                </c:pt>
                <c:pt idx="12" c:formatCode="0.00%">
                  <c:v>0.141478261825957</c:v>
                </c:pt>
                <c:pt idx="13" c:formatCode="0.00%">
                  <c:v>0.110297654734445</c:v>
                </c:pt>
                <c:pt idx="14" c:formatCode="0.00%">
                  <c:v>0.0884312317581448</c:v>
                </c:pt>
                <c:pt idx="15" c:formatCode="0.00%">
                  <c:v>0.0213080985728925</c:v>
                </c:pt>
                <c:pt idx="16" c:formatCode="0.00%">
                  <c:v>0.0204558854177873</c:v>
                </c:pt>
                <c:pt idx="17" c:formatCode="0.00%">
                  <c:v>0.0182856585821537</c:v>
                </c:pt>
                <c:pt idx="18" c:formatCode="0.00%">
                  <c:v>3.11954437163245e-17</c:v>
                </c:pt>
              </c:numCache>
            </c:numRef>
          </c:val>
          <c:smooth val="0"/>
        </c:ser>
        <c:ser>
          <c:idx val="8"/>
          <c:order val="2"/>
          <c:tx>
            <c:strRef>
              <c:f>"60 mi - Supernal S-A2"</c:f>
              <c:strCache>
                <c:ptCount val="1"/>
                <c:pt idx="0">
                  <c:v>60 mi - Supernal S-A2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'3000 ft'!$C$2:$U$2</c:f>
              <c:numCache>
                <c:formatCode>General</c:formatCode>
                <c:ptCount val="19"/>
                <c:pt idx="0">
                  <c:v>0</c:v>
                </c:pt>
                <c:pt idx="1">
                  <c:v>30</c:v>
                </c:pt>
                <c:pt idx="2">
                  <c:v>42</c:v>
                </c:pt>
                <c:pt idx="3">
                  <c:v>72</c:v>
                </c:pt>
                <c:pt idx="4">
                  <c:v>90</c:v>
                </c:pt>
                <c:pt idx="5">
                  <c:v>234</c:v>
                </c:pt>
                <c:pt idx="6">
                  <c:v>657</c:v>
                </c:pt>
                <c:pt idx="7">
                  <c:v>801</c:v>
                </c:pt>
                <c:pt idx="8">
                  <c:v>819</c:v>
                </c:pt>
                <c:pt idx="9">
                  <c:v>849</c:v>
                </c:pt>
                <c:pt idx="10">
                  <c:v>861</c:v>
                </c:pt>
                <c:pt idx="11">
                  <c:v>891</c:v>
                </c:pt>
                <c:pt idx="12">
                  <c:v>903</c:v>
                </c:pt>
                <c:pt idx="13">
                  <c:v>933</c:v>
                </c:pt>
                <c:pt idx="14">
                  <c:v>957</c:v>
                </c:pt>
                <c:pt idx="15">
                  <c:v>1038</c:v>
                </c:pt>
                <c:pt idx="16">
                  <c:v>1062</c:v>
                </c:pt>
                <c:pt idx="17">
                  <c:v>1092</c:v>
                </c:pt>
                <c:pt idx="18">
                  <c:v>1104</c:v>
                </c:pt>
              </c:numCache>
            </c:numRef>
          </c:cat>
          <c:val>
            <c:numRef>
              <c:f>'3000 ft'!$C$42:$U$42</c:f>
              <c:numCache>
                <c:formatCode>0%</c:formatCode>
                <c:ptCount val="19"/>
                <c:pt idx="0">
                  <c:v>1</c:v>
                </c:pt>
                <c:pt idx="1" c:formatCode="0.00%">
                  <c:v>0.999966238471081</c:v>
                </c:pt>
                <c:pt idx="2" c:formatCode="0.00%">
                  <c:v>0.985639570775028</c:v>
                </c:pt>
                <c:pt idx="3" c:formatCode="0.00%">
                  <c:v>0.9616235452408</c:v>
                </c:pt>
                <c:pt idx="4" c:formatCode="0.00%">
                  <c:v>0.956578206282277</c:v>
                </c:pt>
                <c:pt idx="5" c:formatCode="0.00%">
                  <c:v>0.904963738548896</c:v>
                </c:pt>
                <c:pt idx="6" c:formatCode="0.00%">
                  <c:v>0.17542225311567</c:v>
                </c:pt>
                <c:pt idx="7" c:formatCode="0.00%">
                  <c:v>0.144085363119659</c:v>
                </c:pt>
                <c:pt idx="8" c:formatCode="0.00%">
                  <c:v>0.139040024161135</c:v>
                </c:pt>
                <c:pt idx="9" c:formatCode="0.00%">
                  <c:v>0.137414299879531</c:v>
                </c:pt>
                <c:pt idx="10" c:formatCode="0.00%">
                  <c:v>0.123330262255429</c:v>
                </c:pt>
                <c:pt idx="11" c:formatCode="0.00%">
                  <c:v>0.123296500726511</c:v>
                </c:pt>
                <c:pt idx="12" c:formatCode="0.00%">
                  <c:v>0.108969833030457</c:v>
                </c:pt>
                <c:pt idx="13" c:formatCode="0.00%">
                  <c:v>0.0849538074962297</c:v>
                </c:pt>
                <c:pt idx="14" c:formatCode="0.00%">
                  <c:v>0.068111782227132</c:v>
                </c:pt>
                <c:pt idx="15" c:formatCode="0.00%">
                  <c:v>0.0164119908862113</c:v>
                </c:pt>
                <c:pt idx="16" c:formatCode="0.00%">
                  <c:v>0.0157555965820997</c:v>
                </c:pt>
                <c:pt idx="17" c:formatCode="0.00%">
                  <c:v>0.0140840376241014</c:v>
                </c:pt>
                <c:pt idx="18" c:formatCode="0.00%">
                  <c:v>2.40274530461841e-17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508209"/>
        <c:axId val="92867049"/>
      </c:lineChart>
      <c:catAx>
        <c:axId val="89250820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Flight Time (s)</a:t>
                </a:r>
                <a:endParaRPr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7049"/>
        <c:crosses val="autoZero"/>
        <c:auto val="1"/>
        <c:lblAlgn val="ctr"/>
        <c:lblOffset val="100"/>
        <c:noMultiLvlLbl val="0"/>
      </c:catAx>
      <c:valAx>
        <c:axId val="92867049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SOC (%)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7781100062583"/>
              <c:y val="0.4290126519474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5082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4eb42d-5a2e-41bf-a6c1-7084db90e3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739775</xdr:colOff>
      <xdr:row>46</xdr:row>
      <xdr:rowOff>62230</xdr:rowOff>
    </xdr:from>
    <xdr:to>
      <xdr:col>14</xdr:col>
      <xdr:colOff>466090</xdr:colOff>
      <xdr:row>74</xdr:row>
      <xdr:rowOff>176530</xdr:rowOff>
    </xdr:to>
    <xdr:graphicFrame>
      <xdr:nvGraphicFramePr>
        <xdr:cNvPr id="6" name="Chart 5"/>
        <xdr:cNvGraphicFramePr/>
      </xdr:nvGraphicFramePr>
      <xdr:xfrm>
        <a:off x="4999355" y="920623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1054735</xdr:colOff>
      <xdr:row>46</xdr:row>
      <xdr:rowOff>74930</xdr:rowOff>
    </xdr:from>
    <xdr:to>
      <xdr:col>20</xdr:col>
      <xdr:colOff>1070610</xdr:colOff>
      <xdr:row>74</xdr:row>
      <xdr:rowOff>151130</xdr:rowOff>
    </xdr:to>
    <xdr:graphicFrame>
      <xdr:nvGraphicFramePr>
        <xdr:cNvPr id="7" name="Chart 6"/>
        <xdr:cNvGraphicFramePr/>
      </xdr:nvGraphicFramePr>
      <xdr:xfrm>
        <a:off x="14785975" y="921893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676275</xdr:colOff>
      <xdr:row>76</xdr:row>
      <xdr:rowOff>113030</xdr:rowOff>
    </xdr:from>
    <xdr:to>
      <xdr:col>14</xdr:col>
      <xdr:colOff>402590</xdr:colOff>
      <xdr:row>105</xdr:row>
      <xdr:rowOff>44450</xdr:rowOff>
    </xdr:to>
    <xdr:graphicFrame>
      <xdr:nvGraphicFramePr>
        <xdr:cNvPr id="8" name="Chart 7"/>
        <xdr:cNvGraphicFramePr/>
      </xdr:nvGraphicFramePr>
      <xdr:xfrm>
        <a:off x="4935855" y="1474343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727075</xdr:colOff>
      <xdr:row>107</xdr:row>
      <xdr:rowOff>7620</xdr:rowOff>
    </xdr:from>
    <xdr:to>
      <xdr:col>14</xdr:col>
      <xdr:colOff>453390</xdr:colOff>
      <xdr:row>135</xdr:row>
      <xdr:rowOff>121920</xdr:rowOff>
    </xdr:to>
    <xdr:graphicFrame>
      <xdr:nvGraphicFramePr>
        <xdr:cNvPr id="9" name="Chart 8"/>
        <xdr:cNvGraphicFramePr/>
      </xdr:nvGraphicFramePr>
      <xdr:xfrm>
        <a:off x="4986655" y="2030730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720725</xdr:colOff>
      <xdr:row>137</xdr:row>
      <xdr:rowOff>39370</xdr:rowOff>
    </xdr:from>
    <xdr:to>
      <xdr:col>14</xdr:col>
      <xdr:colOff>447040</xdr:colOff>
      <xdr:row>165</xdr:row>
      <xdr:rowOff>153670</xdr:rowOff>
    </xdr:to>
    <xdr:graphicFrame>
      <xdr:nvGraphicFramePr>
        <xdr:cNvPr id="10" name="Chart 9"/>
        <xdr:cNvGraphicFramePr/>
      </xdr:nvGraphicFramePr>
      <xdr:xfrm>
        <a:off x="4980305" y="25825450"/>
        <a:ext cx="9197975" cy="5234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1086485</xdr:colOff>
      <xdr:row>76</xdr:row>
      <xdr:rowOff>152400</xdr:rowOff>
    </xdr:from>
    <xdr:to>
      <xdr:col>20</xdr:col>
      <xdr:colOff>1102360</xdr:colOff>
      <xdr:row>105</xdr:row>
      <xdr:rowOff>45720</xdr:rowOff>
    </xdr:to>
    <xdr:graphicFrame>
      <xdr:nvGraphicFramePr>
        <xdr:cNvPr id="11" name="Chart 10"/>
        <xdr:cNvGraphicFramePr/>
      </xdr:nvGraphicFramePr>
      <xdr:xfrm>
        <a:off x="14817725" y="147828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1156335</xdr:colOff>
      <xdr:row>107</xdr:row>
      <xdr:rowOff>20320</xdr:rowOff>
    </xdr:from>
    <xdr:to>
      <xdr:col>20</xdr:col>
      <xdr:colOff>1172210</xdr:colOff>
      <xdr:row>135</xdr:row>
      <xdr:rowOff>96520</xdr:rowOff>
    </xdr:to>
    <xdr:graphicFrame>
      <xdr:nvGraphicFramePr>
        <xdr:cNvPr id="12" name="Chart 11"/>
        <xdr:cNvGraphicFramePr/>
      </xdr:nvGraphicFramePr>
      <xdr:xfrm>
        <a:off x="14887575" y="203200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1092835</xdr:colOff>
      <xdr:row>137</xdr:row>
      <xdr:rowOff>109220</xdr:rowOff>
    </xdr:from>
    <xdr:to>
      <xdr:col>20</xdr:col>
      <xdr:colOff>1108710</xdr:colOff>
      <xdr:row>166</xdr:row>
      <xdr:rowOff>2540</xdr:rowOff>
    </xdr:to>
    <xdr:graphicFrame>
      <xdr:nvGraphicFramePr>
        <xdr:cNvPr id="13" name="Chart 12"/>
        <xdr:cNvGraphicFramePr/>
      </xdr:nvGraphicFramePr>
      <xdr:xfrm>
        <a:off x="14824075" y="25895300"/>
        <a:ext cx="9129395" cy="5196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zoomScale="85" zoomScaleNormal="85" workbookViewId="0">
      <selection activeCell="G25" sqref="G25"/>
    </sheetView>
  </sheetViews>
  <sheetFormatPr defaultColWidth="9" defaultRowHeight="14.4"/>
  <cols>
    <col min="1" max="1" width="9" style="2"/>
    <col min="2" max="2" width="15.1111111111111" style="2" customWidth="1"/>
    <col min="3" max="3" width="11.1111111111111" style="2" customWidth="1"/>
    <col min="4" max="4" width="11.7777777777778" style="2" customWidth="1"/>
    <col min="5" max="5" width="15.4444444444444" style="2" customWidth="1"/>
    <col min="6" max="6" width="17.6666666666667" style="2" customWidth="1"/>
    <col min="7" max="7" width="16" style="2" customWidth="1"/>
    <col min="8" max="8" width="10.6666666666667" style="2" customWidth="1"/>
    <col min="9" max="9" width="18.8888888888889" style="2" customWidth="1"/>
    <col min="10" max="10" width="16.7777777777778" style="2" customWidth="1"/>
    <col min="11" max="11" width="18" style="2" customWidth="1"/>
    <col min="12" max="12" width="14.4444444444444" style="2" customWidth="1"/>
    <col min="13" max="13" width="10.2222222222222" style="2" customWidth="1"/>
    <col min="14" max="14" width="19.5555555555556" style="2" customWidth="1"/>
    <col min="15" max="15" width="23.1111111111111" style="2" customWidth="1"/>
    <col min="16" max="16" width="23.7777777777778" style="2" customWidth="1"/>
    <col min="17" max="17" width="14" style="2" customWidth="1"/>
    <col min="18" max="18" width="26.6666666666667" style="2" customWidth="1"/>
    <col min="19" max="19" width="25.7777777777778" style="2" customWidth="1"/>
    <col min="20" max="20" width="25.0925925925926" style="2" customWidth="1"/>
    <col min="21" max="23" width="14.5" style="2" customWidth="1"/>
    <col min="24" max="16384" width="9" style="2"/>
  </cols>
  <sheetData>
    <row r="1" spans="2:20">
      <c r="B1" s="2" t="s">
        <v>0</v>
      </c>
      <c r="C1" s="2">
        <v>30</v>
      </c>
      <c r="D1" s="2">
        <v>6</v>
      </c>
      <c r="E1" s="2">
        <v>15</v>
      </c>
      <c r="F1" s="2">
        <v>18</v>
      </c>
      <c r="G1" s="2">
        <v>72</v>
      </c>
      <c r="H1" s="2">
        <v>558</v>
      </c>
      <c r="I1" s="2">
        <v>72</v>
      </c>
      <c r="J1" s="2">
        <v>18</v>
      </c>
      <c r="K1" s="2">
        <v>15</v>
      </c>
      <c r="L1" s="2">
        <v>6</v>
      </c>
      <c r="M1" s="2">
        <v>30</v>
      </c>
      <c r="N1" s="2">
        <v>6</v>
      </c>
      <c r="O1" s="2">
        <v>15</v>
      </c>
      <c r="P1" s="2">
        <v>12</v>
      </c>
      <c r="Q1" s="2">
        <v>112</v>
      </c>
      <c r="R1" s="2">
        <v>12</v>
      </c>
      <c r="S1" s="2">
        <v>15</v>
      </c>
      <c r="T1" s="2">
        <v>6</v>
      </c>
    </row>
    <row r="2" spans="3:20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</row>
    <row r="3" spans="1:20">
      <c r="A3" s="4" t="s">
        <v>19</v>
      </c>
      <c r="B3" s="2" t="s">
        <v>20</v>
      </c>
      <c r="C3" s="11">
        <v>0.00414</v>
      </c>
      <c r="D3" s="11">
        <v>1.26099</v>
      </c>
      <c r="E3" s="11">
        <v>2.096034</v>
      </c>
      <c r="F3" s="11">
        <v>0.55039</v>
      </c>
      <c r="G3" s="11">
        <v>3.460097</v>
      </c>
      <c r="H3" s="11">
        <v>41.341488</v>
      </c>
      <c r="I3" s="11">
        <v>0.980656</v>
      </c>
      <c r="J3" s="11">
        <v>0.55039</v>
      </c>
      <c r="K3" s="11">
        <v>0.147982</v>
      </c>
      <c r="L3" s="11">
        <v>1.231238</v>
      </c>
      <c r="M3" s="11">
        <v>0.00414</v>
      </c>
      <c r="N3" s="11">
        <v>1.26099</v>
      </c>
      <c r="O3" s="11">
        <v>2.096034</v>
      </c>
      <c r="P3" s="11">
        <v>1.585685</v>
      </c>
      <c r="Q3" s="11">
        <v>8.297933</v>
      </c>
      <c r="R3" s="11">
        <v>0.180616</v>
      </c>
      <c r="S3" s="11">
        <v>0.146802</v>
      </c>
      <c r="T3" s="12">
        <v>1.231238</v>
      </c>
    </row>
    <row r="4" s="1" customFormat="1" spans="1:20">
      <c r="A4" s="4"/>
      <c r="B4" s="1" t="s">
        <v>21</v>
      </c>
      <c r="C4" s="11">
        <v>0.003135</v>
      </c>
      <c r="D4" s="11">
        <v>0.785311</v>
      </c>
      <c r="E4" s="11">
        <v>1.797259</v>
      </c>
      <c r="F4" s="11">
        <v>0.530053</v>
      </c>
      <c r="G4" s="11">
        <v>2.927872</v>
      </c>
      <c r="H4" s="11">
        <v>26.022308</v>
      </c>
      <c r="I4" s="11">
        <v>1.050524</v>
      </c>
      <c r="J4" s="11">
        <v>0.530053</v>
      </c>
      <c r="K4" s="11">
        <v>0.066325</v>
      </c>
      <c r="L4" s="11">
        <v>0.762784</v>
      </c>
      <c r="M4" s="11">
        <v>0.003135</v>
      </c>
      <c r="N4" s="11">
        <v>0.785311</v>
      </c>
      <c r="O4" s="11">
        <v>1.797259</v>
      </c>
      <c r="P4" s="11">
        <v>1.25196</v>
      </c>
      <c r="Q4" s="11">
        <v>5.223116</v>
      </c>
      <c r="R4" s="11">
        <v>0.125976</v>
      </c>
      <c r="S4" s="11">
        <v>0.065431</v>
      </c>
      <c r="T4" s="12">
        <v>0.762784</v>
      </c>
    </row>
    <row r="5" s="1" customFormat="1" spans="1:20">
      <c r="A5" s="4"/>
      <c r="B5" s="1" t="s">
        <v>22</v>
      </c>
      <c r="C5" s="11">
        <v>0.004368</v>
      </c>
      <c r="D5" s="11">
        <v>0.934626</v>
      </c>
      <c r="E5" s="11">
        <v>2.277495</v>
      </c>
      <c r="F5" s="11">
        <v>0.650071</v>
      </c>
      <c r="G5" s="11">
        <v>3.976706</v>
      </c>
      <c r="H5" s="11">
        <v>46.372197</v>
      </c>
      <c r="I5" s="11">
        <v>1.360603</v>
      </c>
      <c r="J5" s="11">
        <v>0.650071</v>
      </c>
      <c r="K5" s="11">
        <v>0.138609</v>
      </c>
      <c r="L5" s="11">
        <v>0.903235</v>
      </c>
      <c r="M5" s="11">
        <v>0.004368</v>
      </c>
      <c r="N5" s="11">
        <v>0.934626</v>
      </c>
      <c r="O5" s="11">
        <v>2.277495</v>
      </c>
      <c r="P5" s="11">
        <v>1.727401</v>
      </c>
      <c r="Q5" s="11">
        <v>9.307681</v>
      </c>
      <c r="R5" s="11">
        <v>0.179164</v>
      </c>
      <c r="S5" s="11">
        <v>0.137364</v>
      </c>
      <c r="T5" s="12">
        <v>0.903235</v>
      </c>
    </row>
    <row r="6" customFormat="1" spans="2:20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="2" customFormat="1" spans="1:20">
      <c r="A7" s="4" t="s">
        <v>23</v>
      </c>
      <c r="B7" s="2" t="s">
        <v>20</v>
      </c>
      <c r="C7" s="11">
        <v>0.00414</v>
      </c>
      <c r="D7" s="11">
        <v>1.26099</v>
      </c>
      <c r="E7" s="11">
        <v>2.096034</v>
      </c>
      <c r="F7" s="11">
        <v>0.55039</v>
      </c>
      <c r="G7" s="11">
        <v>3.460097</v>
      </c>
      <c r="H7" s="11">
        <v>68.013416</v>
      </c>
      <c r="I7" s="11">
        <v>0.980656</v>
      </c>
      <c r="J7" s="11">
        <v>0.55039</v>
      </c>
      <c r="K7" s="11">
        <v>0.147982</v>
      </c>
      <c r="L7" s="11">
        <v>1.231238</v>
      </c>
      <c r="M7" s="11">
        <v>0.00414</v>
      </c>
      <c r="N7" s="11">
        <v>1.26099</v>
      </c>
      <c r="O7" s="11">
        <v>2.096034</v>
      </c>
      <c r="P7" s="11">
        <v>1.585685</v>
      </c>
      <c r="Q7" s="11">
        <v>8.297933</v>
      </c>
      <c r="R7" s="11">
        <v>0.180616</v>
      </c>
      <c r="S7" s="11">
        <v>0.146802</v>
      </c>
      <c r="T7" s="12">
        <v>1.231238</v>
      </c>
    </row>
    <row r="8" s="1" customFormat="1" spans="1:20">
      <c r="A8" s="4"/>
      <c r="B8" s="1" t="s">
        <v>21</v>
      </c>
      <c r="C8" s="11">
        <v>0.003135</v>
      </c>
      <c r="D8" s="11">
        <v>0.785311</v>
      </c>
      <c r="E8" s="11">
        <v>1.797259</v>
      </c>
      <c r="F8" s="11">
        <v>0.530053</v>
      </c>
      <c r="G8" s="11">
        <v>2.927872</v>
      </c>
      <c r="H8" s="11">
        <v>42.810893</v>
      </c>
      <c r="I8" s="11">
        <v>1.050524</v>
      </c>
      <c r="J8" s="11">
        <v>0.530053</v>
      </c>
      <c r="K8" s="11">
        <v>0.066325</v>
      </c>
      <c r="L8" s="11">
        <v>0.762784</v>
      </c>
      <c r="M8" s="11">
        <v>0.003135</v>
      </c>
      <c r="N8" s="11">
        <v>0.785311</v>
      </c>
      <c r="O8" s="11">
        <v>1.797259</v>
      </c>
      <c r="P8" s="11">
        <v>1.25196</v>
      </c>
      <c r="Q8" s="11">
        <v>5.223116</v>
      </c>
      <c r="R8" s="11">
        <v>0.125976</v>
      </c>
      <c r="S8" s="11">
        <v>0.065431</v>
      </c>
      <c r="T8" s="12">
        <v>0.762784</v>
      </c>
    </row>
    <row r="9" s="1" customFormat="1" spans="1:20">
      <c r="A9" s="4"/>
      <c r="B9" s="1" t="s">
        <v>22</v>
      </c>
      <c r="C9" s="11">
        <v>0.004368</v>
      </c>
      <c r="D9" s="11">
        <v>0.934626</v>
      </c>
      <c r="E9" s="11">
        <v>2.277495</v>
      </c>
      <c r="F9" s="11">
        <v>0.650071</v>
      </c>
      <c r="G9" s="11">
        <v>3.976706</v>
      </c>
      <c r="H9" s="11">
        <v>76.289744</v>
      </c>
      <c r="I9" s="11">
        <v>1.360603</v>
      </c>
      <c r="J9" s="11">
        <v>0.650071</v>
      </c>
      <c r="K9" s="11">
        <v>0.138609</v>
      </c>
      <c r="L9" s="11">
        <v>0.903235</v>
      </c>
      <c r="M9" s="11">
        <v>0.004368</v>
      </c>
      <c r="N9" s="11">
        <v>0.934626</v>
      </c>
      <c r="O9" s="11">
        <v>2.277495</v>
      </c>
      <c r="P9" s="11">
        <v>1.727401</v>
      </c>
      <c r="Q9" s="11">
        <v>9.307681</v>
      </c>
      <c r="R9" s="11">
        <v>0.179164</v>
      </c>
      <c r="S9" s="11">
        <v>0.137364</v>
      </c>
      <c r="T9" s="12">
        <v>0.903235</v>
      </c>
    </row>
    <row r="11" s="2" customFormat="1" spans="1:20">
      <c r="A11" s="4" t="s">
        <v>24</v>
      </c>
      <c r="B11" s="2" t="s">
        <v>20</v>
      </c>
      <c r="C11" s="11">
        <v>0.00414</v>
      </c>
      <c r="D11" s="11">
        <v>1.26099</v>
      </c>
      <c r="E11" s="11">
        <v>2.096034</v>
      </c>
      <c r="F11" s="11">
        <v>0.55039</v>
      </c>
      <c r="G11" s="11">
        <v>3.460097</v>
      </c>
      <c r="H11" s="11">
        <v>94.685344</v>
      </c>
      <c r="I11" s="11">
        <v>0.980656</v>
      </c>
      <c r="J11" s="11">
        <v>0.55039</v>
      </c>
      <c r="K11" s="11">
        <v>0.147982</v>
      </c>
      <c r="L11" s="11">
        <v>1.231238</v>
      </c>
      <c r="M11" s="11">
        <v>0.00414</v>
      </c>
      <c r="N11" s="11">
        <v>1.26099</v>
      </c>
      <c r="O11" s="11">
        <v>2.096034</v>
      </c>
      <c r="P11" s="11">
        <v>1.585685</v>
      </c>
      <c r="Q11" s="11">
        <v>8.297933</v>
      </c>
      <c r="R11" s="11">
        <v>0.180616</v>
      </c>
      <c r="S11" s="11">
        <v>0.146802</v>
      </c>
      <c r="T11" s="12">
        <v>1.231238</v>
      </c>
    </row>
    <row r="12" s="1" customFormat="1" spans="1:20">
      <c r="A12" s="4"/>
      <c r="B12" s="1" t="s">
        <v>21</v>
      </c>
      <c r="C12" s="11">
        <v>0.003135</v>
      </c>
      <c r="D12" s="11">
        <v>0.785311</v>
      </c>
      <c r="E12" s="11">
        <v>1.797259</v>
      </c>
      <c r="F12" s="11">
        <v>0.530053</v>
      </c>
      <c r="G12" s="11">
        <v>2.927872</v>
      </c>
      <c r="H12" s="11">
        <v>59.599479</v>
      </c>
      <c r="I12" s="11">
        <v>1.050524</v>
      </c>
      <c r="J12" s="11">
        <v>0.530053</v>
      </c>
      <c r="K12" s="11">
        <v>0.066325</v>
      </c>
      <c r="L12" s="11">
        <v>0.762784</v>
      </c>
      <c r="M12" s="11">
        <v>0.003135</v>
      </c>
      <c r="N12" s="11">
        <v>0.785311</v>
      </c>
      <c r="O12" s="11">
        <v>1.797259</v>
      </c>
      <c r="P12" s="11">
        <v>1.25196</v>
      </c>
      <c r="Q12" s="11">
        <v>5.223116</v>
      </c>
      <c r="R12" s="11">
        <v>0.125976</v>
      </c>
      <c r="S12" s="11">
        <v>0.065431</v>
      </c>
      <c r="T12" s="12">
        <v>0.762784</v>
      </c>
    </row>
    <row r="13" s="1" customFormat="1" spans="1:20">
      <c r="A13" s="4"/>
      <c r="B13" s="1" t="s">
        <v>22</v>
      </c>
      <c r="C13" s="11">
        <v>0.004368</v>
      </c>
      <c r="D13" s="11">
        <v>0.934626</v>
      </c>
      <c r="E13" s="11">
        <v>2.277495</v>
      </c>
      <c r="F13" s="11">
        <v>0.650071</v>
      </c>
      <c r="G13" s="11">
        <v>3.976706</v>
      </c>
      <c r="H13" s="11">
        <v>106.207291</v>
      </c>
      <c r="I13" s="11">
        <v>1.360603</v>
      </c>
      <c r="J13" s="11">
        <v>0.650071</v>
      </c>
      <c r="K13" s="11">
        <v>0.138609</v>
      </c>
      <c r="L13" s="11">
        <v>0.903235</v>
      </c>
      <c r="M13" s="11">
        <v>0.004368</v>
      </c>
      <c r="N13" s="11">
        <v>0.934626</v>
      </c>
      <c r="O13" s="11">
        <v>2.277495</v>
      </c>
      <c r="P13" s="11">
        <v>1.727401</v>
      </c>
      <c r="Q13" s="11">
        <v>9.307681</v>
      </c>
      <c r="R13" s="11">
        <v>0.179164</v>
      </c>
      <c r="S13" s="11">
        <v>0.137364</v>
      </c>
      <c r="T13" s="12">
        <v>0.903235</v>
      </c>
    </row>
    <row r="16" spans="1:3">
      <c r="A16" s="4" t="s">
        <v>19</v>
      </c>
      <c r="C16" s="2" t="s">
        <v>25</v>
      </c>
    </row>
    <row r="17" spans="2:3">
      <c r="B17" s="2" t="s">
        <v>20</v>
      </c>
      <c r="C17" s="10">
        <f>SUM(C3:T3)</f>
        <v>66.426843</v>
      </c>
    </row>
    <row r="18" spans="2:3">
      <c r="B18" s="1" t="s">
        <v>21</v>
      </c>
      <c r="C18" s="10">
        <f>SUM(C4:T4)</f>
        <v>44.490596</v>
      </c>
    </row>
    <row r="19" spans="2:3">
      <c r="B19" s="1" t="s">
        <v>22</v>
      </c>
      <c r="C19" s="10">
        <f>SUM(C5:T5)</f>
        <v>72.739315</v>
      </c>
    </row>
    <row r="20" spans="3:3">
      <c r="C20" s="10"/>
    </row>
    <row r="21" spans="3:3">
      <c r="C21" s="10"/>
    </row>
    <row r="22" spans="3:3">
      <c r="C22" s="10" t="s">
        <v>25</v>
      </c>
    </row>
    <row r="23" spans="1:3">
      <c r="A23" s="4" t="s">
        <v>23</v>
      </c>
      <c r="B23" s="2" t="s">
        <v>20</v>
      </c>
      <c r="C23" s="10">
        <f>SUM(C7:T7)</f>
        <v>93.098771</v>
      </c>
    </row>
    <row r="24" spans="2:3">
      <c r="B24" s="1" t="s">
        <v>21</v>
      </c>
      <c r="C24" s="10">
        <f>SUM(C8:T8)</f>
        <v>61.279181</v>
      </c>
    </row>
    <row r="25" spans="2:3">
      <c r="B25" s="1" t="s">
        <v>22</v>
      </c>
      <c r="C25" s="10">
        <f>SUM(C9:T9)</f>
        <v>102.656862</v>
      </c>
    </row>
    <row r="26" spans="3:3">
      <c r="C26" s="10"/>
    </row>
    <row r="27" spans="3:3">
      <c r="C27" s="10"/>
    </row>
    <row r="28" spans="3:3">
      <c r="C28" s="10" t="s">
        <v>25</v>
      </c>
    </row>
    <row r="29" spans="1:3">
      <c r="A29" s="4" t="s">
        <v>24</v>
      </c>
      <c r="B29" s="2" t="s">
        <v>20</v>
      </c>
      <c r="C29" s="10">
        <f>SUM(C11:T11)</f>
        <v>119.770699</v>
      </c>
    </row>
    <row r="30" spans="2:3">
      <c r="B30" s="1" t="s">
        <v>21</v>
      </c>
      <c r="C30" s="10">
        <f>SUM(C12:T12)</f>
        <v>78.067767</v>
      </c>
    </row>
    <row r="31" spans="2:3">
      <c r="B31" s="1" t="s">
        <v>22</v>
      </c>
      <c r="C31" s="10">
        <f>SUM(C13:T13)</f>
        <v>132.574409</v>
      </c>
    </row>
    <row r="32" spans="3:3">
      <c r="C32" s="10"/>
    </row>
    <row r="33" spans="3:3">
      <c r="C33" s="10"/>
    </row>
  </sheetData>
  <mergeCells count="3">
    <mergeCell ref="A3:A5"/>
    <mergeCell ref="A7:A9"/>
    <mergeCell ref="A11:A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tabSelected="1" zoomScale="70" zoomScaleNormal="70" zoomScalePageLayoutView="27" workbookViewId="0">
      <selection activeCell="E50" sqref="E50"/>
    </sheetView>
  </sheetViews>
  <sheetFormatPr defaultColWidth="9" defaultRowHeight="14.4"/>
  <cols>
    <col min="1" max="1" width="9" style="2"/>
    <col min="2" max="3" width="15.1111111111111" style="2" customWidth="1"/>
    <col min="4" max="4" width="11.1111111111111" style="2" customWidth="1"/>
    <col min="5" max="5" width="11.7777777777778" style="2" customWidth="1"/>
    <col min="6" max="6" width="15.4444444444444" style="2" customWidth="1"/>
    <col min="7" max="7" width="17.6666666666667" style="2" customWidth="1"/>
    <col min="8" max="8" width="16" style="2" customWidth="1"/>
    <col min="9" max="9" width="10.6666666666667" style="2" customWidth="1"/>
    <col min="10" max="10" width="18.8888888888889" style="2" customWidth="1"/>
    <col min="11" max="11" width="16.7777777777778" style="2" customWidth="1"/>
    <col min="12" max="12" width="18" style="2" customWidth="1"/>
    <col min="13" max="13" width="14.4444444444444" style="2" customWidth="1"/>
    <col min="14" max="14" width="10.2222222222222" style="2" customWidth="1"/>
    <col min="15" max="15" width="19.5555555555556" style="2" customWidth="1"/>
    <col min="16" max="16" width="23.1111111111111" style="2" customWidth="1"/>
    <col min="17" max="17" width="23.7777777777778" style="2" customWidth="1"/>
    <col min="18" max="18" width="14" style="2" customWidth="1"/>
    <col min="19" max="19" width="26.6666666666667" style="2" customWidth="1"/>
    <col min="20" max="20" width="25.7777777777778" style="2" customWidth="1"/>
    <col min="21" max="21" width="25.0925925925926" style="2" customWidth="1"/>
    <col min="22" max="24" width="14.5" style="2" customWidth="1"/>
    <col min="25" max="25" width="9" style="2"/>
    <col min="26" max="28" width="10.6666666666667" style="2"/>
    <col min="29" max="16384" width="9" style="2"/>
  </cols>
  <sheetData>
    <row r="1" ht="28.8" spans="2:21">
      <c r="B1" s="3" t="s">
        <v>26</v>
      </c>
      <c r="E1" s="2">
        <v>12</v>
      </c>
      <c r="F1" s="2">
        <v>30</v>
      </c>
      <c r="G1" s="2">
        <v>18</v>
      </c>
      <c r="H1" s="2">
        <v>144</v>
      </c>
      <c r="I1" s="2">
        <v>423</v>
      </c>
      <c r="J1" s="2">
        <v>144</v>
      </c>
      <c r="K1" s="2">
        <v>18</v>
      </c>
      <c r="L1" s="2">
        <v>30</v>
      </c>
      <c r="M1" s="2">
        <v>12</v>
      </c>
      <c r="N1" s="2">
        <v>30</v>
      </c>
      <c r="O1" s="2">
        <v>12</v>
      </c>
      <c r="P1" s="2">
        <v>30</v>
      </c>
      <c r="Q1" s="2">
        <v>24</v>
      </c>
      <c r="R1" s="2">
        <v>81</v>
      </c>
      <c r="S1" s="2">
        <v>24</v>
      </c>
      <c r="T1" s="2">
        <v>30</v>
      </c>
      <c r="U1" s="2">
        <v>12</v>
      </c>
    </row>
    <row r="2" ht="28.8" spans="2:21">
      <c r="B2" s="3" t="s">
        <v>27</v>
      </c>
      <c r="C2" s="2">
        <v>0</v>
      </c>
      <c r="D2" s="2">
        <v>30</v>
      </c>
      <c r="E2" s="2">
        <f>D2+E1</f>
        <v>42</v>
      </c>
      <c r="F2" s="2">
        <f t="shared" ref="F2:U2" si="0">E2+F1</f>
        <v>72</v>
      </c>
      <c r="G2" s="2">
        <f t="shared" si="0"/>
        <v>90</v>
      </c>
      <c r="H2" s="2">
        <f t="shared" si="0"/>
        <v>234</v>
      </c>
      <c r="I2" s="2">
        <f t="shared" si="0"/>
        <v>657</v>
      </c>
      <c r="J2" s="2">
        <f t="shared" si="0"/>
        <v>801</v>
      </c>
      <c r="K2" s="2">
        <f t="shared" si="0"/>
        <v>819</v>
      </c>
      <c r="L2" s="2">
        <f t="shared" si="0"/>
        <v>849</v>
      </c>
      <c r="M2" s="2">
        <f t="shared" si="0"/>
        <v>861</v>
      </c>
      <c r="N2" s="2">
        <f t="shared" si="0"/>
        <v>891</v>
      </c>
      <c r="O2" s="2">
        <f t="shared" si="0"/>
        <v>903</v>
      </c>
      <c r="P2" s="2">
        <f t="shared" si="0"/>
        <v>933</v>
      </c>
      <c r="Q2" s="2">
        <f t="shared" si="0"/>
        <v>957</v>
      </c>
      <c r="R2" s="2">
        <f t="shared" si="0"/>
        <v>1038</v>
      </c>
      <c r="S2" s="2">
        <f t="shared" si="0"/>
        <v>1062</v>
      </c>
      <c r="T2" s="2">
        <f t="shared" si="0"/>
        <v>1092</v>
      </c>
      <c r="U2" s="2">
        <f t="shared" si="0"/>
        <v>1104</v>
      </c>
    </row>
    <row r="3" spans="3:21">
      <c r="C3" s="2" t="s">
        <v>28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</row>
    <row r="4" spans="1:21">
      <c r="A4" s="4" t="s">
        <v>19</v>
      </c>
      <c r="B4" s="2" t="s">
        <v>20</v>
      </c>
      <c r="D4" s="5">
        <v>0.00414</v>
      </c>
      <c r="E4" s="5">
        <v>2.507104</v>
      </c>
      <c r="F4" s="5">
        <v>2.819842</v>
      </c>
      <c r="G4" s="5">
        <v>0.552865</v>
      </c>
      <c r="H4" s="5">
        <v>5.71025</v>
      </c>
      <c r="I4" s="5">
        <v>30.978339</v>
      </c>
      <c r="J4" s="5">
        <v>3.223824</v>
      </c>
      <c r="K4" s="5">
        <v>0.552865</v>
      </c>
      <c r="L4" s="5">
        <v>0.074355</v>
      </c>
      <c r="M4" s="5">
        <v>2.477353</v>
      </c>
      <c r="N4" s="5">
        <v>0.00414</v>
      </c>
      <c r="O4" s="5">
        <v>2.507104</v>
      </c>
      <c r="P4" s="5">
        <v>2.819842</v>
      </c>
      <c r="Q4" s="5">
        <v>1.962046</v>
      </c>
      <c r="R4" s="5">
        <v>5.932022</v>
      </c>
      <c r="S4" s="5">
        <v>0.102141</v>
      </c>
      <c r="T4" s="5">
        <v>0.079975</v>
      </c>
      <c r="U4" s="5">
        <v>2.477353</v>
      </c>
    </row>
    <row r="5" s="1" customFormat="1" spans="1:21">
      <c r="A5" s="4"/>
      <c r="C5" s="5">
        <f>C50</f>
        <v>64.78556</v>
      </c>
      <c r="D5" s="5">
        <f>$C$50-D4</f>
        <v>64.78142</v>
      </c>
      <c r="E5" s="5">
        <f>D5-E4</f>
        <v>62.274316</v>
      </c>
      <c r="F5" s="5">
        <f t="shared" ref="F5:U5" si="1">E5-F4</f>
        <v>59.454474</v>
      </c>
      <c r="G5" s="5">
        <f t="shared" si="1"/>
        <v>58.901609</v>
      </c>
      <c r="H5" s="5">
        <f t="shared" si="1"/>
        <v>53.191359</v>
      </c>
      <c r="I5" s="5">
        <f t="shared" si="1"/>
        <v>22.21302</v>
      </c>
      <c r="J5" s="5">
        <f t="shared" si="1"/>
        <v>18.989196</v>
      </c>
      <c r="K5" s="5">
        <f t="shared" si="1"/>
        <v>18.436331</v>
      </c>
      <c r="L5" s="5">
        <f t="shared" si="1"/>
        <v>18.361976</v>
      </c>
      <c r="M5" s="5">
        <f t="shared" si="1"/>
        <v>15.884623</v>
      </c>
      <c r="N5" s="5">
        <f t="shared" si="1"/>
        <v>15.880483</v>
      </c>
      <c r="O5" s="5">
        <f t="shared" si="1"/>
        <v>13.373379</v>
      </c>
      <c r="P5" s="5">
        <f t="shared" si="1"/>
        <v>10.553537</v>
      </c>
      <c r="Q5" s="5">
        <f t="shared" si="1"/>
        <v>8.59149099999998</v>
      </c>
      <c r="R5" s="5">
        <f t="shared" si="1"/>
        <v>2.65946899999998</v>
      </c>
      <c r="S5" s="5">
        <f t="shared" si="1"/>
        <v>2.55732799999998</v>
      </c>
      <c r="T5" s="5">
        <f t="shared" si="1"/>
        <v>2.47735299999998</v>
      </c>
      <c r="U5" s="5">
        <f t="shared" si="1"/>
        <v>-1.64313007644523e-14</v>
      </c>
    </row>
    <row r="6" s="1" customFormat="1" spans="1:21">
      <c r="A6" s="4"/>
      <c r="C6" s="6">
        <v>1</v>
      </c>
      <c r="D6" s="7">
        <f>D5/$C$50</f>
        <v>0.999936096870969</v>
      </c>
      <c r="E6" s="7">
        <f t="shared" ref="E6:U6" si="2">E5/$C$50</f>
        <v>0.961237596773108</v>
      </c>
      <c r="F6" s="7">
        <f t="shared" si="2"/>
        <v>0.917711817262983</v>
      </c>
      <c r="G6" s="7">
        <f t="shared" si="2"/>
        <v>0.909178048318175</v>
      </c>
      <c r="H6" s="7">
        <f t="shared" si="2"/>
        <v>0.821037265094259</v>
      </c>
      <c r="I6" s="7">
        <f t="shared" si="2"/>
        <v>0.342869923482949</v>
      </c>
      <c r="J6" s="7">
        <f t="shared" si="2"/>
        <v>0.293108464293586</v>
      </c>
      <c r="K6" s="7">
        <f t="shared" si="2"/>
        <v>0.284574695348778</v>
      </c>
      <c r="L6" s="7">
        <f t="shared" si="2"/>
        <v>0.283426985890065</v>
      </c>
      <c r="M6" s="7">
        <f t="shared" si="2"/>
        <v>0.245187708495535</v>
      </c>
      <c r="N6" s="7">
        <f t="shared" si="2"/>
        <v>0.245123805366504</v>
      </c>
      <c r="O6" s="7">
        <f t="shared" si="2"/>
        <v>0.206425305268643</v>
      </c>
      <c r="P6" s="7">
        <f t="shared" si="2"/>
        <v>0.162899525758518</v>
      </c>
      <c r="Q6" s="7">
        <f t="shared" si="2"/>
        <v>0.132614289357073</v>
      </c>
      <c r="R6" s="7">
        <f t="shared" si="2"/>
        <v>0.0410503359081867</v>
      </c>
      <c r="S6" s="7">
        <f t="shared" si="2"/>
        <v>0.0394737345791251</v>
      </c>
      <c r="T6" s="7">
        <f t="shared" si="2"/>
        <v>0.0382392773945303</v>
      </c>
      <c r="U6" s="7">
        <f t="shared" si="2"/>
        <v>-2.53625974128376e-16</v>
      </c>
    </row>
    <row r="7" s="1" customFormat="1" spans="1:21">
      <c r="A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="1" customFormat="1" spans="1:21">
      <c r="A8" s="4"/>
      <c r="B8" s="1" t="s">
        <v>21</v>
      </c>
      <c r="D8" s="5">
        <v>0.003135</v>
      </c>
      <c r="E8" s="5">
        <v>1.559359</v>
      </c>
      <c r="F8" s="5">
        <v>2.555484</v>
      </c>
      <c r="G8" s="5">
        <v>0.531767</v>
      </c>
      <c r="H8" s="5">
        <v>4.937473</v>
      </c>
      <c r="I8" s="5">
        <v>19.841049</v>
      </c>
      <c r="J8" s="5">
        <v>3.054837</v>
      </c>
      <c r="K8" s="5">
        <v>0.531767</v>
      </c>
      <c r="L8" s="5">
        <v>0.476696</v>
      </c>
      <c r="M8" s="5">
        <v>1.536832</v>
      </c>
      <c r="N8" s="5">
        <v>0.003135</v>
      </c>
      <c r="O8" s="5">
        <v>1.559359</v>
      </c>
      <c r="P8" s="5">
        <v>2.555484</v>
      </c>
      <c r="Q8" s="5">
        <v>1.587904</v>
      </c>
      <c r="R8" s="5">
        <v>3.79935</v>
      </c>
      <c r="S8" s="5">
        <v>0.055852</v>
      </c>
      <c r="T8" s="5">
        <v>0.480951</v>
      </c>
      <c r="U8" s="5">
        <v>1.536832</v>
      </c>
    </row>
    <row r="9" s="1" customFormat="1" spans="1:21">
      <c r="A9" s="4"/>
      <c r="C9" s="5">
        <f>C51</f>
        <v>46.607266</v>
      </c>
      <c r="D9" s="5">
        <f>$C$51-D8</f>
        <v>46.604131</v>
      </c>
      <c r="E9" s="5">
        <f>D9-E8</f>
        <v>45.044772</v>
      </c>
      <c r="F9" s="5">
        <f t="shared" ref="F9:U9" si="3">E9-F8</f>
        <v>42.489288</v>
      </c>
      <c r="G9" s="5">
        <f t="shared" si="3"/>
        <v>41.957521</v>
      </c>
      <c r="H9" s="5">
        <f t="shared" si="3"/>
        <v>37.020048</v>
      </c>
      <c r="I9" s="5">
        <f t="shared" si="3"/>
        <v>17.178999</v>
      </c>
      <c r="J9" s="5">
        <f t="shared" si="3"/>
        <v>14.124162</v>
      </c>
      <c r="K9" s="5">
        <f t="shared" si="3"/>
        <v>13.592395</v>
      </c>
      <c r="L9" s="5">
        <f t="shared" si="3"/>
        <v>13.115699</v>
      </c>
      <c r="M9" s="5">
        <f t="shared" si="3"/>
        <v>11.578867</v>
      </c>
      <c r="N9" s="5">
        <f t="shared" si="3"/>
        <v>11.575732</v>
      </c>
      <c r="O9" s="5">
        <f t="shared" si="3"/>
        <v>10.016373</v>
      </c>
      <c r="P9" s="5">
        <f t="shared" si="3"/>
        <v>7.46088899999999</v>
      </c>
      <c r="Q9" s="5">
        <f t="shared" si="3"/>
        <v>5.87298499999999</v>
      </c>
      <c r="R9" s="5">
        <f t="shared" si="3"/>
        <v>2.07363499999999</v>
      </c>
      <c r="S9" s="5">
        <f t="shared" si="3"/>
        <v>2.01778299999999</v>
      </c>
      <c r="T9" s="5">
        <f t="shared" si="3"/>
        <v>1.53683199999999</v>
      </c>
      <c r="U9" s="5">
        <f t="shared" si="3"/>
        <v>-7.105427357601e-15</v>
      </c>
    </row>
    <row r="10" s="1" customFormat="1" spans="1:21">
      <c r="A10" s="4"/>
      <c r="C10" s="6">
        <v>1</v>
      </c>
      <c r="D10" s="7">
        <f>D9/$C$51</f>
        <v>0.999932735809906</v>
      </c>
      <c r="E10" s="7">
        <f t="shared" ref="E10:U10" si="4">E9/$C$51</f>
        <v>0.966475313098177</v>
      </c>
      <c r="F10" s="7">
        <f t="shared" si="4"/>
        <v>0.911645149921474</v>
      </c>
      <c r="G10" s="7">
        <f t="shared" si="4"/>
        <v>0.900235619913856</v>
      </c>
      <c r="H10" s="7">
        <f t="shared" si="4"/>
        <v>0.794297781809386</v>
      </c>
      <c r="I10" s="7">
        <f t="shared" si="4"/>
        <v>0.368590575555322</v>
      </c>
      <c r="J10" s="7">
        <f t="shared" si="4"/>
        <v>0.303046353330401</v>
      </c>
      <c r="K10" s="7">
        <f t="shared" si="4"/>
        <v>0.291636823322784</v>
      </c>
      <c r="L10" s="7">
        <f t="shared" si="4"/>
        <v>0.281408890193216</v>
      </c>
      <c r="M10" s="7">
        <f t="shared" si="4"/>
        <v>0.248434804135475</v>
      </c>
      <c r="N10" s="7">
        <f t="shared" si="4"/>
        <v>0.248367539945381</v>
      </c>
      <c r="O10" s="7">
        <f t="shared" si="4"/>
        <v>0.214910117233652</v>
      </c>
      <c r="P10" s="7">
        <f t="shared" si="4"/>
        <v>0.160079954056949</v>
      </c>
      <c r="Q10" s="7">
        <f t="shared" si="4"/>
        <v>0.126010073193308</v>
      </c>
      <c r="R10" s="7">
        <f t="shared" si="4"/>
        <v>0.0444916678871486</v>
      </c>
      <c r="S10" s="7">
        <f t="shared" si="4"/>
        <v>0.0432933139652515</v>
      </c>
      <c r="T10" s="7">
        <f t="shared" si="4"/>
        <v>0.0329740860577403</v>
      </c>
      <c r="U10" s="7">
        <f t="shared" si="4"/>
        <v>-1.52453210999354e-16</v>
      </c>
    </row>
    <row r="11" s="1" customFormat="1" spans="1:21">
      <c r="A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="1" customFormat="1" spans="1:21">
      <c r="A12" s="4"/>
      <c r="B12" s="1" t="s">
        <v>22</v>
      </c>
      <c r="D12" s="5">
        <v>0.004368</v>
      </c>
      <c r="E12" s="5">
        <v>1.853556</v>
      </c>
      <c r="F12" s="5">
        <v>3.107146</v>
      </c>
      <c r="G12" s="5">
        <v>0.652756</v>
      </c>
      <c r="H12" s="5">
        <v>6.677778</v>
      </c>
      <c r="I12" s="5">
        <v>34.930488</v>
      </c>
      <c r="J12" s="5">
        <v>4.054305</v>
      </c>
      <c r="K12" s="5">
        <v>0.652756</v>
      </c>
      <c r="L12" s="5">
        <v>0.210333</v>
      </c>
      <c r="M12" s="5">
        <v>1.822165</v>
      </c>
      <c r="N12" s="5">
        <v>0.004368</v>
      </c>
      <c r="O12" s="5">
        <v>1.853556</v>
      </c>
      <c r="P12" s="5">
        <v>3.107146</v>
      </c>
      <c r="Q12" s="5">
        <v>2.178988</v>
      </c>
      <c r="R12" s="5">
        <v>6.688817</v>
      </c>
      <c r="S12" s="5">
        <v>0.084923</v>
      </c>
      <c r="T12" s="5">
        <v>0.216263</v>
      </c>
      <c r="U12" s="5">
        <v>1.822165</v>
      </c>
    </row>
    <row r="13" customFormat="1" spans="1:21">
      <c r="A13" s="4"/>
      <c r="B13" s="2"/>
      <c r="C13" s="5">
        <f>C52</f>
        <v>69.921877</v>
      </c>
      <c r="D13" s="5">
        <f>$C$52-D12</f>
        <v>69.917509</v>
      </c>
      <c r="E13" s="5">
        <f>D13-E12</f>
        <v>68.063953</v>
      </c>
      <c r="F13" s="5">
        <f t="shared" ref="F13:U13" si="5">E13-F12</f>
        <v>64.956807</v>
      </c>
      <c r="G13" s="5">
        <f t="shared" si="5"/>
        <v>64.304051</v>
      </c>
      <c r="H13" s="5">
        <f t="shared" si="5"/>
        <v>57.626273</v>
      </c>
      <c r="I13" s="5">
        <f t="shared" si="5"/>
        <v>22.695785</v>
      </c>
      <c r="J13" s="5">
        <f t="shared" si="5"/>
        <v>18.64148</v>
      </c>
      <c r="K13" s="5">
        <f t="shared" si="5"/>
        <v>17.988724</v>
      </c>
      <c r="L13" s="5">
        <f t="shared" si="5"/>
        <v>17.778391</v>
      </c>
      <c r="M13" s="5">
        <f t="shared" si="5"/>
        <v>15.956226</v>
      </c>
      <c r="N13" s="5">
        <f t="shared" si="5"/>
        <v>15.951858</v>
      </c>
      <c r="O13" s="5">
        <f t="shared" si="5"/>
        <v>14.098302</v>
      </c>
      <c r="P13" s="5">
        <f t="shared" si="5"/>
        <v>10.991156</v>
      </c>
      <c r="Q13" s="5">
        <f t="shared" si="5"/>
        <v>8.81216799999999</v>
      </c>
      <c r="R13" s="5">
        <f t="shared" si="5"/>
        <v>2.12335099999999</v>
      </c>
      <c r="S13" s="5">
        <f t="shared" si="5"/>
        <v>2.03842799999999</v>
      </c>
      <c r="T13" s="5">
        <f t="shared" si="5"/>
        <v>1.82216499999999</v>
      </c>
      <c r="U13" s="5">
        <f t="shared" si="5"/>
        <v>-1.11022302462516e-14</v>
      </c>
    </row>
    <row r="14" customFormat="1" spans="1:21">
      <c r="A14" s="4"/>
      <c r="B14" s="2"/>
      <c r="C14" s="6">
        <v>1</v>
      </c>
      <c r="D14" s="7">
        <f>D13/$C$52</f>
        <v>0.999937530281116</v>
      </c>
      <c r="E14" s="7">
        <f t="shared" ref="E14:U14" si="6">E13/$C$52</f>
        <v>0.973428573720926</v>
      </c>
      <c r="F14" s="7">
        <f t="shared" si="6"/>
        <v>0.928991179684722</v>
      </c>
      <c r="G14" s="7">
        <f t="shared" si="6"/>
        <v>0.919655675147279</v>
      </c>
      <c r="H14" s="7">
        <f t="shared" si="6"/>
        <v>0.824152260672293</v>
      </c>
      <c r="I14" s="7">
        <f t="shared" si="6"/>
        <v>0.324587753844194</v>
      </c>
      <c r="J14" s="7">
        <f t="shared" si="6"/>
        <v>0.266604399078131</v>
      </c>
      <c r="K14" s="7">
        <f t="shared" si="6"/>
        <v>0.257268894540688</v>
      </c>
      <c r="L14" s="7">
        <f t="shared" si="6"/>
        <v>0.254260780213323</v>
      </c>
      <c r="M14" s="7">
        <f t="shared" si="6"/>
        <v>0.228200767550905</v>
      </c>
      <c r="N14" s="7">
        <f t="shared" si="6"/>
        <v>0.228138297832022</v>
      </c>
      <c r="O14" s="7">
        <f t="shared" si="6"/>
        <v>0.201629341271831</v>
      </c>
      <c r="P14" s="7">
        <f t="shared" si="6"/>
        <v>0.157191947235627</v>
      </c>
      <c r="Q14" s="7">
        <f t="shared" si="6"/>
        <v>0.126028767791803</v>
      </c>
      <c r="R14" s="7">
        <f t="shared" si="6"/>
        <v>0.030367477120215</v>
      </c>
      <c r="S14" s="7">
        <f t="shared" si="6"/>
        <v>0.0291529359259047</v>
      </c>
      <c r="T14" s="7">
        <f t="shared" si="6"/>
        <v>0.0260600126624174</v>
      </c>
      <c r="U14" s="7">
        <f t="shared" si="6"/>
        <v>-1.58780495069541e-16</v>
      </c>
    </row>
    <row r="15" customFormat="1" spans="2:21"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customFormat="1" spans="2:21">
      <c r="B16" s="2"/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1" ht="28.8" spans="2:21">
      <c r="B17" s="3" t="s">
        <v>26</v>
      </c>
      <c r="C17" s="2">
        <v>0</v>
      </c>
      <c r="D17" s="8">
        <v>30</v>
      </c>
      <c r="E17" s="8">
        <v>12</v>
      </c>
      <c r="F17" s="8">
        <v>30</v>
      </c>
      <c r="G17" s="8">
        <v>18</v>
      </c>
      <c r="H17" s="8">
        <v>144</v>
      </c>
      <c r="I17" s="8">
        <v>783</v>
      </c>
      <c r="J17" s="8">
        <v>144</v>
      </c>
      <c r="K17" s="8">
        <v>18</v>
      </c>
      <c r="L17" s="8">
        <v>30</v>
      </c>
      <c r="M17" s="8">
        <v>12</v>
      </c>
      <c r="N17" s="8">
        <v>30</v>
      </c>
      <c r="O17" s="8">
        <v>12</v>
      </c>
      <c r="P17" s="8">
        <v>30</v>
      </c>
      <c r="Q17" s="8">
        <v>24</v>
      </c>
      <c r="R17" s="8">
        <v>81</v>
      </c>
      <c r="S17" s="8">
        <v>24</v>
      </c>
      <c r="T17" s="8">
        <v>30</v>
      </c>
      <c r="U17" s="8">
        <v>12</v>
      </c>
    </row>
    <row r="18" s="2" customFormat="1" spans="1:21">
      <c r="A18" s="4" t="s">
        <v>23</v>
      </c>
      <c r="B18" s="2" t="s">
        <v>20</v>
      </c>
      <c r="D18" s="5">
        <v>0.00414</v>
      </c>
      <c r="E18" s="5">
        <v>2.507104</v>
      </c>
      <c r="F18" s="5">
        <v>2.819842</v>
      </c>
      <c r="G18" s="5">
        <v>0.552865</v>
      </c>
      <c r="H18" s="5">
        <v>5.71025</v>
      </c>
      <c r="I18" s="5">
        <v>57.342883</v>
      </c>
      <c r="J18" s="5">
        <v>3.223824</v>
      </c>
      <c r="K18" s="5">
        <v>0.552865</v>
      </c>
      <c r="L18" s="5">
        <v>0.074355</v>
      </c>
      <c r="M18" s="5">
        <v>2.477353</v>
      </c>
      <c r="N18" s="5">
        <v>0.00414</v>
      </c>
      <c r="O18" s="5">
        <v>2.507104</v>
      </c>
      <c r="P18" s="5">
        <v>2.819842</v>
      </c>
      <c r="Q18" s="5">
        <v>1.962046</v>
      </c>
      <c r="R18" s="5">
        <v>5.932022</v>
      </c>
      <c r="S18" s="5">
        <v>0.102141</v>
      </c>
      <c r="T18" s="5">
        <v>0.079975</v>
      </c>
      <c r="U18" s="5">
        <v>2.477353</v>
      </c>
    </row>
    <row r="19" s="1" customFormat="1" spans="1:21">
      <c r="A19" s="4"/>
      <c r="C19" s="8">
        <f>C56</f>
        <v>91.150104</v>
      </c>
      <c r="D19" s="5">
        <f>$C$56-D18</f>
        <v>91.145964</v>
      </c>
      <c r="E19" s="5">
        <f>D19-E18</f>
        <v>88.63886</v>
      </c>
      <c r="F19" s="5">
        <f t="shared" ref="F19:U19" si="7">E19-F18</f>
        <v>85.819018</v>
      </c>
      <c r="G19" s="5">
        <f t="shared" si="7"/>
        <v>85.266153</v>
      </c>
      <c r="H19" s="5">
        <f t="shared" si="7"/>
        <v>79.555903</v>
      </c>
      <c r="I19" s="5">
        <f t="shared" si="7"/>
        <v>22.21302</v>
      </c>
      <c r="J19" s="5">
        <f t="shared" si="7"/>
        <v>18.989196</v>
      </c>
      <c r="K19" s="5">
        <f t="shared" si="7"/>
        <v>18.436331</v>
      </c>
      <c r="L19" s="5">
        <f t="shared" si="7"/>
        <v>18.361976</v>
      </c>
      <c r="M19" s="5">
        <f t="shared" si="7"/>
        <v>15.884623</v>
      </c>
      <c r="N19" s="5">
        <f t="shared" si="7"/>
        <v>15.880483</v>
      </c>
      <c r="O19" s="5">
        <f t="shared" si="7"/>
        <v>13.373379</v>
      </c>
      <c r="P19" s="5">
        <f t="shared" si="7"/>
        <v>10.553537</v>
      </c>
      <c r="Q19" s="5">
        <f t="shared" si="7"/>
        <v>8.59149099999998</v>
      </c>
      <c r="R19" s="5">
        <f t="shared" si="7"/>
        <v>2.65946899999998</v>
      </c>
      <c r="S19" s="5">
        <f t="shared" si="7"/>
        <v>2.55732799999998</v>
      </c>
      <c r="T19" s="5">
        <f t="shared" si="7"/>
        <v>2.47735299999998</v>
      </c>
      <c r="U19" s="5">
        <f t="shared" si="7"/>
        <v>-1.64313007644523e-14</v>
      </c>
    </row>
    <row r="20" s="1" customFormat="1" spans="1:21">
      <c r="A20" s="4"/>
      <c r="C20" s="6">
        <v>1</v>
      </c>
      <c r="D20" s="7">
        <f>D19/$C$56</f>
        <v>0.999954580413863</v>
      </c>
      <c r="E20" s="7">
        <f t="shared" ref="E20:U20" si="8">E19/$C$56</f>
        <v>0.972449356722621</v>
      </c>
      <c r="F20" s="7">
        <f t="shared" si="8"/>
        <v>0.941513111164415</v>
      </c>
      <c r="G20" s="7">
        <f t="shared" si="8"/>
        <v>0.93544767650512</v>
      </c>
      <c r="H20" s="7">
        <f t="shared" si="8"/>
        <v>0.872801011834282</v>
      </c>
      <c r="I20" s="7">
        <f t="shared" si="8"/>
        <v>0.243697143779452</v>
      </c>
      <c r="J20" s="7">
        <f t="shared" si="8"/>
        <v>0.208328846229292</v>
      </c>
      <c r="K20" s="7">
        <f t="shared" si="8"/>
        <v>0.202263411569997</v>
      </c>
      <c r="L20" s="7">
        <f t="shared" si="8"/>
        <v>0.201447669220432</v>
      </c>
      <c r="M20" s="7">
        <f t="shared" si="8"/>
        <v>0.174268841207246</v>
      </c>
      <c r="N20" s="7">
        <f t="shared" si="8"/>
        <v>0.17422342162111</v>
      </c>
      <c r="O20" s="7">
        <f t="shared" si="8"/>
        <v>0.146718197929867</v>
      </c>
      <c r="P20" s="7">
        <f t="shared" si="8"/>
        <v>0.115781952371661</v>
      </c>
      <c r="Q20" s="7">
        <f t="shared" si="8"/>
        <v>0.094256513410012</v>
      </c>
      <c r="R20" s="7">
        <f t="shared" si="8"/>
        <v>0.0291768070829627</v>
      </c>
      <c r="S20" s="7">
        <f t="shared" si="8"/>
        <v>0.0280562269023849</v>
      </c>
      <c r="T20" s="7">
        <f t="shared" si="8"/>
        <v>0.0271788280131856</v>
      </c>
      <c r="U20" s="7">
        <f t="shared" si="8"/>
        <v>-1.80266396234198e-16</v>
      </c>
    </row>
    <row r="21" s="1" customFormat="1" spans="1:21">
      <c r="A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="1" customFormat="1" spans="1:21">
      <c r="A22" s="4"/>
      <c r="B22" s="1" t="s">
        <v>21</v>
      </c>
      <c r="D22" s="5">
        <v>0.003135</v>
      </c>
      <c r="E22" s="5">
        <v>1.559359</v>
      </c>
      <c r="F22" s="5">
        <v>2.555484</v>
      </c>
      <c r="G22" s="5">
        <v>0.531767</v>
      </c>
      <c r="H22" s="5">
        <v>4.937473</v>
      </c>
      <c r="I22" s="5">
        <v>36.727049</v>
      </c>
      <c r="J22" s="5">
        <v>3.054837</v>
      </c>
      <c r="K22" s="5">
        <v>0.531767</v>
      </c>
      <c r="L22" s="5">
        <v>0.476696</v>
      </c>
      <c r="M22" s="5">
        <v>1.536832</v>
      </c>
      <c r="N22" s="5">
        <v>0.003135</v>
      </c>
      <c r="O22" s="5">
        <v>1.559359</v>
      </c>
      <c r="P22" s="5">
        <v>2.555484</v>
      </c>
      <c r="Q22" s="5">
        <v>1.587904</v>
      </c>
      <c r="R22" s="5">
        <v>3.79935</v>
      </c>
      <c r="S22" s="5">
        <v>0.055852</v>
      </c>
      <c r="T22" s="5">
        <v>0.480951</v>
      </c>
      <c r="U22" s="5">
        <v>1.536832</v>
      </c>
    </row>
    <row r="23" s="1" customFormat="1" spans="1:21">
      <c r="A23" s="4"/>
      <c r="C23" s="8">
        <f>C57</f>
        <v>63.493266</v>
      </c>
      <c r="D23" s="5">
        <f>$C$57-D22</f>
        <v>63.490131</v>
      </c>
      <c r="E23" s="5">
        <f>D23-E22</f>
        <v>61.930772</v>
      </c>
      <c r="F23" s="5">
        <f t="shared" ref="F23:U23" si="9">E23-F22</f>
        <v>59.375288</v>
      </c>
      <c r="G23" s="5">
        <f t="shared" si="9"/>
        <v>58.843521</v>
      </c>
      <c r="H23" s="5">
        <f t="shared" si="9"/>
        <v>53.906048</v>
      </c>
      <c r="I23" s="5">
        <f t="shared" si="9"/>
        <v>17.178999</v>
      </c>
      <c r="J23" s="5">
        <f t="shared" si="9"/>
        <v>14.124162</v>
      </c>
      <c r="K23" s="5">
        <f t="shared" si="9"/>
        <v>13.592395</v>
      </c>
      <c r="L23" s="5">
        <f t="shared" si="9"/>
        <v>13.115699</v>
      </c>
      <c r="M23" s="5">
        <f t="shared" si="9"/>
        <v>11.578867</v>
      </c>
      <c r="N23" s="5">
        <f t="shared" si="9"/>
        <v>11.575732</v>
      </c>
      <c r="O23" s="5">
        <f t="shared" si="9"/>
        <v>10.016373</v>
      </c>
      <c r="P23" s="5">
        <f t="shared" si="9"/>
        <v>7.46088899999999</v>
      </c>
      <c r="Q23" s="5">
        <f t="shared" si="9"/>
        <v>5.87298499999999</v>
      </c>
      <c r="R23" s="5">
        <f t="shared" si="9"/>
        <v>2.07363499999999</v>
      </c>
      <c r="S23" s="5">
        <f t="shared" si="9"/>
        <v>2.01778299999999</v>
      </c>
      <c r="T23" s="5">
        <f t="shared" si="9"/>
        <v>1.53683199999999</v>
      </c>
      <c r="U23" s="5">
        <f t="shared" si="9"/>
        <v>-1.06581410364015e-14</v>
      </c>
    </row>
    <row r="24" s="1" customFormat="1" spans="1:21">
      <c r="A24" s="4"/>
      <c r="C24" s="6">
        <v>1</v>
      </c>
      <c r="D24" s="7">
        <f>D23/$C$57</f>
        <v>0.999950624685144</v>
      </c>
      <c r="E24" s="7">
        <f t="shared" ref="E24:U24" si="10">E23/$C$57</f>
        <v>0.975391185578641</v>
      </c>
      <c r="F24" s="7">
        <f t="shared" si="10"/>
        <v>0.935143074857734</v>
      </c>
      <c r="G24" s="7">
        <f t="shared" si="10"/>
        <v>0.926767903229297</v>
      </c>
      <c r="H24" s="7">
        <f t="shared" si="10"/>
        <v>0.849004176285403</v>
      </c>
      <c r="I24" s="7">
        <f t="shared" si="10"/>
        <v>0.27056410990104</v>
      </c>
      <c r="J24" s="7">
        <f t="shared" si="10"/>
        <v>0.222451338382877</v>
      </c>
      <c r="K24" s="7">
        <f t="shared" si="10"/>
        <v>0.21407616675444</v>
      </c>
      <c r="L24" s="7">
        <f t="shared" si="10"/>
        <v>0.206568346948793</v>
      </c>
      <c r="M24" s="7">
        <f t="shared" si="10"/>
        <v>0.182363701372678</v>
      </c>
      <c r="N24" s="7">
        <f t="shared" si="10"/>
        <v>0.182314326057821</v>
      </c>
      <c r="O24" s="7">
        <f t="shared" si="10"/>
        <v>0.157754886951318</v>
      </c>
      <c r="P24" s="7">
        <f t="shared" si="10"/>
        <v>0.117506776230411</v>
      </c>
      <c r="Q24" s="7">
        <f t="shared" si="10"/>
        <v>0.0924977618886385</v>
      </c>
      <c r="R24" s="7">
        <f t="shared" si="10"/>
        <v>0.032659132702356</v>
      </c>
      <c r="S24" s="7">
        <f t="shared" si="10"/>
        <v>0.0317794803625315</v>
      </c>
      <c r="T24" s="7">
        <f t="shared" si="10"/>
        <v>0.0242046455761149</v>
      </c>
      <c r="U24" s="7">
        <f t="shared" si="10"/>
        <v>-1.67862542090708e-16</v>
      </c>
    </row>
    <row r="25" s="1" customFormat="1" spans="1:21">
      <c r="A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="1" customFormat="1" spans="1:21">
      <c r="A26" s="4"/>
      <c r="B26" s="1" t="s">
        <v>22</v>
      </c>
      <c r="D26" s="5">
        <v>0.004368</v>
      </c>
      <c r="E26" s="5">
        <v>1.853556</v>
      </c>
      <c r="F26" s="5">
        <v>3.107146</v>
      </c>
      <c r="G26" s="5">
        <v>0.652756</v>
      </c>
      <c r="H26" s="5">
        <v>6.677778</v>
      </c>
      <c r="I26" s="5">
        <v>64.658563</v>
      </c>
      <c r="J26" s="5">
        <v>4.054305</v>
      </c>
      <c r="K26" s="5">
        <v>0.652756</v>
      </c>
      <c r="L26" s="5">
        <v>0.210333</v>
      </c>
      <c r="M26" s="5">
        <v>1.822165</v>
      </c>
      <c r="N26" s="5">
        <v>0.004368</v>
      </c>
      <c r="O26" s="5">
        <v>1.853556</v>
      </c>
      <c r="P26" s="5">
        <v>3.107146</v>
      </c>
      <c r="Q26" s="5">
        <v>2.178988</v>
      </c>
      <c r="R26" s="5">
        <v>6.688817</v>
      </c>
      <c r="S26" s="5">
        <v>0.084923</v>
      </c>
      <c r="T26" s="5">
        <v>0.216263</v>
      </c>
      <c r="U26" s="5">
        <v>1.822165</v>
      </c>
    </row>
    <row r="27" customFormat="1" spans="1:21">
      <c r="A27" s="4"/>
      <c r="B27" s="2"/>
      <c r="C27" s="8">
        <f>C58</f>
        <v>99.649952</v>
      </c>
      <c r="D27" s="5">
        <f>$C$58-D26</f>
        <v>99.645584</v>
      </c>
      <c r="E27" s="5">
        <f>D27-E26</f>
        <v>97.792028</v>
      </c>
      <c r="F27" s="5">
        <f t="shared" ref="F27:U27" si="11">E27-F26</f>
        <v>94.684882</v>
      </c>
      <c r="G27" s="5">
        <f t="shared" si="11"/>
        <v>94.032126</v>
      </c>
      <c r="H27" s="5">
        <f t="shared" si="11"/>
        <v>87.354348</v>
      </c>
      <c r="I27" s="5">
        <f t="shared" si="11"/>
        <v>22.695785</v>
      </c>
      <c r="J27" s="5">
        <f t="shared" si="11"/>
        <v>18.64148</v>
      </c>
      <c r="K27" s="5">
        <f t="shared" si="11"/>
        <v>17.988724</v>
      </c>
      <c r="L27" s="5">
        <f t="shared" si="11"/>
        <v>17.778391</v>
      </c>
      <c r="M27" s="5">
        <f t="shared" si="11"/>
        <v>15.956226</v>
      </c>
      <c r="N27" s="5">
        <f t="shared" si="11"/>
        <v>15.951858</v>
      </c>
      <c r="O27" s="5">
        <f t="shared" si="11"/>
        <v>14.098302</v>
      </c>
      <c r="P27" s="5">
        <f t="shared" si="11"/>
        <v>10.991156</v>
      </c>
      <c r="Q27" s="5">
        <f t="shared" si="11"/>
        <v>8.812168</v>
      </c>
      <c r="R27" s="5">
        <f t="shared" si="11"/>
        <v>2.123351</v>
      </c>
      <c r="S27" s="5">
        <f t="shared" si="11"/>
        <v>2.038428</v>
      </c>
      <c r="T27" s="5">
        <f t="shared" si="11"/>
        <v>1.822165</v>
      </c>
      <c r="U27" s="5">
        <f t="shared" si="11"/>
        <v>3.10862446895044e-15</v>
      </c>
    </row>
    <row r="28" customFormat="1" spans="1:21">
      <c r="A28" s="4"/>
      <c r="B28" s="2"/>
      <c r="C28" s="6">
        <v>1</v>
      </c>
      <c r="D28" s="7">
        <f>D27/$C$58</f>
        <v>0.999956166561927</v>
      </c>
      <c r="E28" s="7">
        <f t="shared" ref="E28:U28" si="12">E27/$C$58</f>
        <v>0.981355495284132</v>
      </c>
      <c r="F28" s="7">
        <f t="shared" si="12"/>
        <v>0.950174888192621</v>
      </c>
      <c r="G28" s="7">
        <f t="shared" si="12"/>
        <v>0.94362439833388</v>
      </c>
      <c r="H28" s="7">
        <f t="shared" si="12"/>
        <v>0.876612042924015</v>
      </c>
      <c r="I28" s="7">
        <f t="shared" si="12"/>
        <v>0.227755102180079</v>
      </c>
      <c r="J28" s="7">
        <f t="shared" si="12"/>
        <v>0.187069633510712</v>
      </c>
      <c r="K28" s="7">
        <f t="shared" si="12"/>
        <v>0.180519143651971</v>
      </c>
      <c r="L28" s="7">
        <f t="shared" si="12"/>
        <v>0.178408425123978</v>
      </c>
      <c r="M28" s="7">
        <f t="shared" si="12"/>
        <v>0.160122766541824</v>
      </c>
      <c r="N28" s="7">
        <f t="shared" si="12"/>
        <v>0.160078933103751</v>
      </c>
      <c r="O28" s="7">
        <f t="shared" si="12"/>
        <v>0.141478261825957</v>
      </c>
      <c r="P28" s="7">
        <f t="shared" si="12"/>
        <v>0.110297654734445</v>
      </c>
      <c r="Q28" s="7">
        <f t="shared" si="12"/>
        <v>0.0884312317581448</v>
      </c>
      <c r="R28" s="7">
        <f t="shared" si="12"/>
        <v>0.0213080985728925</v>
      </c>
      <c r="S28" s="7">
        <f t="shared" si="12"/>
        <v>0.0204558854177873</v>
      </c>
      <c r="T28" s="7">
        <f t="shared" si="12"/>
        <v>0.0182856585821537</v>
      </c>
      <c r="U28" s="7">
        <f t="shared" si="12"/>
        <v>3.11954437163245e-17</v>
      </c>
    </row>
    <row r="29" customFormat="1" spans="1:21">
      <c r="A29" s="2"/>
      <c r="B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="2" customFormat="1" spans="4:21"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="2" customFormat="1" ht="28.8" spans="2:21">
      <c r="B31" s="3" t="s">
        <v>26</v>
      </c>
      <c r="C31" s="2">
        <v>0</v>
      </c>
      <c r="D31" s="8">
        <v>30</v>
      </c>
      <c r="E31" s="8">
        <v>12</v>
      </c>
      <c r="F31" s="8">
        <v>30</v>
      </c>
      <c r="G31" s="8">
        <v>18</v>
      </c>
      <c r="H31" s="8">
        <v>144</v>
      </c>
      <c r="I31" s="8">
        <v>1143</v>
      </c>
      <c r="J31" s="8">
        <v>144</v>
      </c>
      <c r="K31" s="8">
        <v>18</v>
      </c>
      <c r="L31" s="8">
        <v>30</v>
      </c>
      <c r="M31" s="8">
        <v>12</v>
      </c>
      <c r="N31" s="8">
        <v>30</v>
      </c>
      <c r="O31" s="8">
        <v>12</v>
      </c>
      <c r="P31" s="8">
        <v>30</v>
      </c>
      <c r="Q31" s="8">
        <v>24</v>
      </c>
      <c r="R31" s="8">
        <v>81</v>
      </c>
      <c r="S31" s="8">
        <v>24</v>
      </c>
      <c r="T31" s="8">
        <v>30</v>
      </c>
      <c r="U31" s="8">
        <v>12</v>
      </c>
    </row>
    <row r="32" s="2" customFormat="1" spans="1:21">
      <c r="A32" s="4" t="s">
        <v>24</v>
      </c>
      <c r="B32" s="2" t="s">
        <v>20</v>
      </c>
      <c r="D32" s="5">
        <v>0.00414</v>
      </c>
      <c r="E32" s="5">
        <v>2.507104</v>
      </c>
      <c r="F32" s="5">
        <v>2.819842</v>
      </c>
      <c r="G32" s="5">
        <v>0.552865</v>
      </c>
      <c r="H32" s="5">
        <v>5.71025</v>
      </c>
      <c r="I32" s="5">
        <v>83.707427</v>
      </c>
      <c r="J32" s="5">
        <v>3.223824</v>
      </c>
      <c r="K32" s="5">
        <v>0.552865</v>
      </c>
      <c r="L32" s="5">
        <v>0.074355</v>
      </c>
      <c r="M32" s="5">
        <v>2.477353</v>
      </c>
      <c r="N32" s="5">
        <v>0.00414</v>
      </c>
      <c r="O32" s="5">
        <v>2.507104</v>
      </c>
      <c r="P32" s="5">
        <v>2.819842</v>
      </c>
      <c r="Q32" s="5">
        <v>1.962046</v>
      </c>
      <c r="R32" s="5">
        <v>5.932022</v>
      </c>
      <c r="S32" s="5">
        <v>0.102141</v>
      </c>
      <c r="T32" s="5">
        <v>0.079975</v>
      </c>
      <c r="U32" s="5">
        <v>2.477353</v>
      </c>
    </row>
    <row r="33" s="1" customFormat="1" spans="1:21">
      <c r="A33" s="4"/>
      <c r="C33" s="8">
        <f>C62</f>
        <v>117.514648</v>
      </c>
      <c r="D33" s="5">
        <f>$C$62-D32</f>
        <v>117.510508</v>
      </c>
      <c r="E33" s="5">
        <f>D33-E32</f>
        <v>115.003404</v>
      </c>
      <c r="F33" s="5">
        <f t="shared" ref="F33:U33" si="13">E33-F32</f>
        <v>112.183562</v>
      </c>
      <c r="G33" s="5">
        <f t="shared" si="13"/>
        <v>111.630697</v>
      </c>
      <c r="H33" s="5">
        <f t="shared" si="13"/>
        <v>105.920447</v>
      </c>
      <c r="I33" s="5">
        <f t="shared" si="13"/>
        <v>22.21302</v>
      </c>
      <c r="J33" s="5">
        <f t="shared" si="13"/>
        <v>18.989196</v>
      </c>
      <c r="K33" s="5">
        <f t="shared" si="13"/>
        <v>18.436331</v>
      </c>
      <c r="L33" s="5">
        <f t="shared" si="13"/>
        <v>18.361976</v>
      </c>
      <c r="M33" s="5">
        <f t="shared" si="13"/>
        <v>15.884623</v>
      </c>
      <c r="N33" s="5">
        <f t="shared" si="13"/>
        <v>15.880483</v>
      </c>
      <c r="O33" s="5">
        <f t="shared" si="13"/>
        <v>13.373379</v>
      </c>
      <c r="P33" s="5">
        <f t="shared" si="13"/>
        <v>10.553537</v>
      </c>
      <c r="Q33" s="5">
        <f t="shared" si="13"/>
        <v>8.59149099999998</v>
      </c>
      <c r="R33" s="5">
        <f t="shared" si="13"/>
        <v>2.65946899999998</v>
      </c>
      <c r="S33" s="5">
        <f t="shared" si="13"/>
        <v>2.55732799999998</v>
      </c>
      <c r="T33" s="5">
        <f t="shared" si="13"/>
        <v>2.47735299999998</v>
      </c>
      <c r="U33" s="5">
        <f t="shared" si="13"/>
        <v>-1.64313007644523e-14</v>
      </c>
    </row>
    <row r="34" s="1" customFormat="1" spans="1:21">
      <c r="A34" s="4"/>
      <c r="C34" s="6">
        <v>1</v>
      </c>
      <c r="D34" s="7">
        <f>D33/$C$62</f>
        <v>0.99996477034931</v>
      </c>
      <c r="E34" s="7">
        <f t="shared" ref="E34:U34" si="14">E33/$C$62</f>
        <v>0.978630374657634</v>
      </c>
      <c r="F34" s="7">
        <f t="shared" si="14"/>
        <v>0.954634710729849</v>
      </c>
      <c r="G34" s="7">
        <f t="shared" si="14"/>
        <v>0.949930063186676</v>
      </c>
      <c r="H34" s="7">
        <f t="shared" si="14"/>
        <v>0.901338248487967</v>
      </c>
      <c r="I34" s="7">
        <f t="shared" si="14"/>
        <v>0.189023414340653</v>
      </c>
      <c r="J34" s="7">
        <f t="shared" si="14"/>
        <v>0.161590034290874</v>
      </c>
      <c r="K34" s="7">
        <f t="shared" si="14"/>
        <v>0.156885386747701</v>
      </c>
      <c r="L34" s="7">
        <f t="shared" si="14"/>
        <v>0.156252657115562</v>
      </c>
      <c r="M34" s="7">
        <f t="shared" si="14"/>
        <v>0.135171429862939</v>
      </c>
      <c r="N34" s="7">
        <f t="shared" si="14"/>
        <v>0.135136200212249</v>
      </c>
      <c r="O34" s="7">
        <f t="shared" si="14"/>
        <v>0.113801804520573</v>
      </c>
      <c r="P34" s="7">
        <f t="shared" si="14"/>
        <v>0.0898061405927879</v>
      </c>
      <c r="Q34" s="7">
        <f t="shared" si="14"/>
        <v>0.073109958173044</v>
      </c>
      <c r="R34" s="7">
        <f t="shared" si="14"/>
        <v>0.0226309574615752</v>
      </c>
      <c r="S34" s="7">
        <f t="shared" si="14"/>
        <v>0.0217617807100948</v>
      </c>
      <c r="T34" s="7">
        <f t="shared" si="14"/>
        <v>0.0210812272526229</v>
      </c>
      <c r="U34" s="7">
        <f t="shared" si="14"/>
        <v>-1.39823426645947e-16</v>
      </c>
    </row>
    <row r="35" s="1" customFormat="1" spans="1:21">
      <c r="A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="1" customFormat="1" spans="1:21">
      <c r="A36" s="4"/>
      <c r="B36" s="1" t="s">
        <v>21</v>
      </c>
      <c r="C36" s="2"/>
      <c r="D36" s="5">
        <v>0.003135</v>
      </c>
      <c r="E36" s="5">
        <v>1.559359</v>
      </c>
      <c r="F36" s="5">
        <v>2.555484</v>
      </c>
      <c r="G36" s="5">
        <v>0.531767</v>
      </c>
      <c r="H36" s="5">
        <v>4.937473</v>
      </c>
      <c r="I36" s="5">
        <v>53.613048</v>
      </c>
      <c r="J36" s="5">
        <v>3.054837</v>
      </c>
      <c r="K36" s="5">
        <v>0.531767</v>
      </c>
      <c r="L36" s="5">
        <v>0.476696</v>
      </c>
      <c r="M36" s="5">
        <v>1.536832</v>
      </c>
      <c r="N36" s="5">
        <v>0.003135</v>
      </c>
      <c r="O36" s="5">
        <v>1.559359</v>
      </c>
      <c r="P36" s="5">
        <v>2.555484</v>
      </c>
      <c r="Q36" s="5">
        <v>1.587904</v>
      </c>
      <c r="R36" s="5">
        <v>3.79935</v>
      </c>
      <c r="S36" s="5">
        <v>0.055852</v>
      </c>
      <c r="T36" s="5">
        <v>0.480951</v>
      </c>
      <c r="U36" s="5">
        <v>1.536832</v>
      </c>
    </row>
    <row r="37" s="1" customFormat="1" spans="1:21">
      <c r="A37" s="4"/>
      <c r="C37" s="8">
        <f>C63</f>
        <v>80.379265</v>
      </c>
      <c r="D37" s="5">
        <f>$C$63-D36</f>
        <v>80.37613</v>
      </c>
      <c r="E37" s="5">
        <f>D37-E36</f>
        <v>78.816771</v>
      </c>
      <c r="F37" s="5">
        <f t="shared" ref="F37:U37" si="15">E37-F36</f>
        <v>76.261287</v>
      </c>
      <c r="G37" s="5">
        <f t="shared" si="15"/>
        <v>75.72952</v>
      </c>
      <c r="H37" s="5">
        <f t="shared" si="15"/>
        <v>70.792047</v>
      </c>
      <c r="I37" s="5">
        <f t="shared" si="15"/>
        <v>17.178999</v>
      </c>
      <c r="J37" s="5">
        <f t="shared" si="15"/>
        <v>14.124162</v>
      </c>
      <c r="K37" s="5">
        <f t="shared" si="15"/>
        <v>13.592395</v>
      </c>
      <c r="L37" s="5">
        <f t="shared" si="15"/>
        <v>13.115699</v>
      </c>
      <c r="M37" s="5">
        <f t="shared" si="15"/>
        <v>11.578867</v>
      </c>
      <c r="N37" s="5">
        <f t="shared" si="15"/>
        <v>11.575732</v>
      </c>
      <c r="O37" s="5">
        <f t="shared" si="15"/>
        <v>10.016373</v>
      </c>
      <c r="P37" s="5">
        <f t="shared" si="15"/>
        <v>7.46088900000004</v>
      </c>
      <c r="Q37" s="5">
        <f t="shared" si="15"/>
        <v>5.87298500000004</v>
      </c>
      <c r="R37" s="5">
        <f t="shared" si="15"/>
        <v>2.07363500000004</v>
      </c>
      <c r="S37" s="5">
        <f t="shared" si="15"/>
        <v>2.01778300000004</v>
      </c>
      <c r="T37" s="5">
        <f t="shared" si="15"/>
        <v>1.53683200000004</v>
      </c>
      <c r="U37" s="5">
        <f t="shared" si="15"/>
        <v>3.90798504668055e-14</v>
      </c>
    </row>
    <row r="38" s="1" customFormat="1" spans="1:21">
      <c r="A38" s="4"/>
      <c r="C38" s="6">
        <v>1</v>
      </c>
      <c r="D38" s="7">
        <f>D37/$C$63</f>
        <v>0.999960997403995</v>
      </c>
      <c r="E38" s="7">
        <f t="shared" ref="E38:U38" si="16">E37/$C$63</f>
        <v>0.980560981740751</v>
      </c>
      <c r="F38" s="7">
        <f t="shared" si="16"/>
        <v>0.948768155568479</v>
      </c>
      <c r="G38" s="7">
        <f t="shared" si="16"/>
        <v>0.942152431973594</v>
      </c>
      <c r="H38" s="7">
        <f t="shared" si="16"/>
        <v>0.880725234300164</v>
      </c>
      <c r="I38" s="7">
        <f t="shared" si="16"/>
        <v>0.213724260852597</v>
      </c>
      <c r="J38" s="7">
        <f t="shared" si="16"/>
        <v>0.175718974290198</v>
      </c>
      <c r="K38" s="7">
        <f t="shared" si="16"/>
        <v>0.169103250695313</v>
      </c>
      <c r="L38" s="7">
        <f t="shared" si="16"/>
        <v>0.163172666483079</v>
      </c>
      <c r="M38" s="7">
        <f t="shared" si="16"/>
        <v>0.144052909665198</v>
      </c>
      <c r="N38" s="7">
        <f t="shared" si="16"/>
        <v>0.144013907069193</v>
      </c>
      <c r="O38" s="7">
        <f t="shared" si="16"/>
        <v>0.124613891405949</v>
      </c>
      <c r="P38" s="7">
        <f t="shared" si="16"/>
        <v>0.0928210652336773</v>
      </c>
      <c r="Q38" s="7">
        <f t="shared" si="16"/>
        <v>0.0730659206699643</v>
      </c>
      <c r="R38" s="7">
        <f t="shared" si="16"/>
        <v>0.0257981333867638</v>
      </c>
      <c r="S38" s="7">
        <f t="shared" si="16"/>
        <v>0.0251032775679155</v>
      </c>
      <c r="T38" s="7">
        <f t="shared" si="16"/>
        <v>0.0191197568178813</v>
      </c>
      <c r="U38" s="7">
        <f t="shared" si="16"/>
        <v>4.86193180129297e-16</v>
      </c>
    </row>
    <row r="39" s="1" customFormat="1" spans="1:21">
      <c r="A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="1" customFormat="1" spans="1:21">
      <c r="A40" s="4"/>
      <c r="B40" s="1" t="s">
        <v>22</v>
      </c>
      <c r="C40" s="2"/>
      <c r="D40" s="5">
        <v>0.004368</v>
      </c>
      <c r="E40" s="5">
        <v>1.853556</v>
      </c>
      <c r="F40" s="5">
        <v>3.107146</v>
      </c>
      <c r="G40" s="5">
        <v>0.652756</v>
      </c>
      <c r="H40" s="5">
        <v>6.677778</v>
      </c>
      <c r="I40" s="5">
        <v>94.386638</v>
      </c>
      <c r="J40" s="5">
        <v>4.054305</v>
      </c>
      <c r="K40" s="5">
        <v>0.652756</v>
      </c>
      <c r="L40" s="5">
        <v>0.210333</v>
      </c>
      <c r="M40" s="5">
        <v>1.822165</v>
      </c>
      <c r="N40" s="5">
        <v>0.004368</v>
      </c>
      <c r="O40" s="5">
        <v>1.853556</v>
      </c>
      <c r="P40" s="5">
        <v>3.107146</v>
      </c>
      <c r="Q40" s="5">
        <v>2.178988</v>
      </c>
      <c r="R40" s="5">
        <v>6.688817</v>
      </c>
      <c r="S40" s="5">
        <v>0.084923</v>
      </c>
      <c r="T40" s="5">
        <v>0.216263</v>
      </c>
      <c r="U40" s="5">
        <v>1.822165</v>
      </c>
    </row>
    <row r="41" customFormat="1" spans="1:21">
      <c r="A41" s="4"/>
      <c r="B41" s="2"/>
      <c r="C41" s="8">
        <f>C64</f>
        <v>129.378027</v>
      </c>
      <c r="D41" s="5">
        <f>$C$64-D40</f>
        <v>129.373659</v>
      </c>
      <c r="E41" s="5">
        <f>D41-E40</f>
        <v>127.520103</v>
      </c>
      <c r="F41" s="5">
        <f t="shared" ref="F41:U41" si="17">E41-F40</f>
        <v>124.412957</v>
      </c>
      <c r="G41" s="5">
        <f t="shared" si="17"/>
        <v>123.760201</v>
      </c>
      <c r="H41" s="5">
        <f t="shared" si="17"/>
        <v>117.082423</v>
      </c>
      <c r="I41" s="5">
        <f t="shared" si="17"/>
        <v>22.695785</v>
      </c>
      <c r="J41" s="5">
        <f t="shared" si="17"/>
        <v>18.64148</v>
      </c>
      <c r="K41" s="5">
        <f t="shared" si="17"/>
        <v>17.988724</v>
      </c>
      <c r="L41" s="5">
        <f t="shared" si="17"/>
        <v>17.778391</v>
      </c>
      <c r="M41" s="5">
        <f t="shared" si="17"/>
        <v>15.956226</v>
      </c>
      <c r="N41" s="5">
        <f t="shared" si="17"/>
        <v>15.951858</v>
      </c>
      <c r="O41" s="5">
        <f t="shared" si="17"/>
        <v>14.098302</v>
      </c>
      <c r="P41" s="5">
        <f t="shared" si="17"/>
        <v>10.991156</v>
      </c>
      <c r="Q41" s="5">
        <f t="shared" si="17"/>
        <v>8.812168</v>
      </c>
      <c r="R41" s="5">
        <f t="shared" si="17"/>
        <v>2.123351</v>
      </c>
      <c r="S41" s="5">
        <f t="shared" si="17"/>
        <v>2.038428</v>
      </c>
      <c r="T41" s="5">
        <f t="shared" si="17"/>
        <v>1.822165</v>
      </c>
      <c r="U41" s="5">
        <f t="shared" si="17"/>
        <v>3.10862446895044e-15</v>
      </c>
    </row>
    <row r="42" customFormat="1" spans="1:21">
      <c r="A42" s="4"/>
      <c r="B42" s="2"/>
      <c r="C42" s="6">
        <v>1</v>
      </c>
      <c r="D42" s="7">
        <f>D41/$C$64</f>
        <v>0.999966238471081</v>
      </c>
      <c r="E42" s="7">
        <f t="shared" ref="E42:U42" si="18">E41/$C$64</f>
        <v>0.985639570775028</v>
      </c>
      <c r="F42" s="7">
        <f t="shared" si="18"/>
        <v>0.9616235452408</v>
      </c>
      <c r="G42" s="7">
        <f t="shared" si="18"/>
        <v>0.956578206282277</v>
      </c>
      <c r="H42" s="7">
        <f t="shared" si="18"/>
        <v>0.904963738548896</v>
      </c>
      <c r="I42" s="7">
        <f t="shared" si="18"/>
        <v>0.17542225311567</v>
      </c>
      <c r="J42" s="7">
        <f t="shared" si="18"/>
        <v>0.144085363119659</v>
      </c>
      <c r="K42" s="7">
        <f t="shared" si="18"/>
        <v>0.139040024161135</v>
      </c>
      <c r="L42" s="7">
        <f t="shared" si="18"/>
        <v>0.137414299879531</v>
      </c>
      <c r="M42" s="7">
        <f t="shared" si="18"/>
        <v>0.123330262255429</v>
      </c>
      <c r="N42" s="7">
        <f t="shared" si="18"/>
        <v>0.123296500726511</v>
      </c>
      <c r="O42" s="7">
        <f t="shared" si="18"/>
        <v>0.108969833030457</v>
      </c>
      <c r="P42" s="7">
        <f t="shared" si="18"/>
        <v>0.0849538074962297</v>
      </c>
      <c r="Q42" s="7">
        <f t="shared" si="18"/>
        <v>0.068111782227132</v>
      </c>
      <c r="R42" s="7">
        <f t="shared" si="18"/>
        <v>0.0164119908862113</v>
      </c>
      <c r="S42" s="7">
        <f t="shared" si="18"/>
        <v>0.0157555965820997</v>
      </c>
      <c r="T42" s="7">
        <f t="shared" si="18"/>
        <v>0.0140840376241014</v>
      </c>
      <c r="U42" s="7">
        <f t="shared" si="18"/>
        <v>2.40274530461841e-17</v>
      </c>
    </row>
    <row r="43" customFormat="1" spans="1:21">
      <c r="A43" s="2"/>
      <c r="B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9" spans="1:3">
      <c r="A49" s="4" t="s">
        <v>19</v>
      </c>
      <c r="C49" s="2" t="s">
        <v>25</v>
      </c>
    </row>
    <row r="50" spans="2:3">
      <c r="B50" s="2" t="s">
        <v>20</v>
      </c>
      <c r="C50" s="9">
        <v>64.78556</v>
      </c>
    </row>
    <row r="51" spans="2:3">
      <c r="B51" s="1" t="s">
        <v>21</v>
      </c>
      <c r="C51" s="8">
        <v>46.607266</v>
      </c>
    </row>
    <row r="52" spans="2:3">
      <c r="B52" s="1" t="s">
        <v>22</v>
      </c>
      <c r="C52" s="8">
        <v>69.921877</v>
      </c>
    </row>
    <row r="53" spans="3:3">
      <c r="C53" s="8"/>
    </row>
    <row r="54" spans="3:3">
      <c r="C54" s="8"/>
    </row>
    <row r="55" spans="3:3">
      <c r="C55" s="8" t="s">
        <v>25</v>
      </c>
    </row>
    <row r="56" spans="1:3">
      <c r="A56" s="4" t="s">
        <v>23</v>
      </c>
      <c r="B56" s="2" t="s">
        <v>20</v>
      </c>
      <c r="C56" s="8">
        <v>91.150104</v>
      </c>
    </row>
    <row r="57" spans="2:3">
      <c r="B57" s="1" t="s">
        <v>21</v>
      </c>
      <c r="C57" s="8">
        <v>63.493266</v>
      </c>
    </row>
    <row r="58" spans="2:3">
      <c r="B58" s="1" t="s">
        <v>22</v>
      </c>
      <c r="C58" s="8">
        <v>99.649952</v>
      </c>
    </row>
    <row r="59" spans="3:3">
      <c r="C59" s="8"/>
    </row>
    <row r="60" spans="3:3">
      <c r="C60" s="8"/>
    </row>
    <row r="61" spans="3:3">
      <c r="C61" s="8" t="s">
        <v>25</v>
      </c>
    </row>
    <row r="62" spans="1:3">
      <c r="A62" s="4" t="s">
        <v>24</v>
      </c>
      <c r="B62" s="2" t="s">
        <v>20</v>
      </c>
      <c r="C62" s="8">
        <v>117.514648</v>
      </c>
    </row>
    <row r="63" spans="2:3">
      <c r="B63" s="1" t="s">
        <v>21</v>
      </c>
      <c r="C63" s="8">
        <v>80.379265</v>
      </c>
    </row>
    <row r="64" spans="2:3">
      <c r="B64" s="1" t="s">
        <v>22</v>
      </c>
      <c r="C64" s="8">
        <v>129.378027</v>
      </c>
    </row>
    <row r="65" spans="4:4">
      <c r="D65" s="10"/>
    </row>
    <row r="66" spans="4:4">
      <c r="D66" s="10"/>
    </row>
  </sheetData>
  <mergeCells count="3">
    <mergeCell ref="A4:A14"/>
    <mergeCell ref="A18:A28"/>
    <mergeCell ref="A32:A4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1500 ft</vt:lpstr>
      <vt:lpstr>3000 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2025-11-08T23:53:19Z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7F0D986F09C54B05A6C596E0358D2797_12</vt:lpwstr>
  </property>
  <property fmtid="{D5CDD505-2E9C-101B-9397-08002B2CF9AE}" pid="3" name="KSOProductBuildVer">
    <vt:lpwstr>1033-12.2.0.23155</vt:lpwstr>
  </property>
</Properties>
</file>