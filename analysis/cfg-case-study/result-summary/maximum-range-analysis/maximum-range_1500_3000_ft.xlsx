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Max. Mission Rang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<sst xmlns="http://schemas.openxmlformats.org/spreadsheetml/2006/main" count="29" uniqueCount="25">
  <si>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Cruise Speed (m/s)</t>
  </si>
  <si>
    <t>Model</t>
  </si>
  <si>
    <t>Altitude</t>
  </si>
  <si>
    <t>Baseline MTOW
(kg)</t>
  </si>
  <si>
    <t>Max. MTOW
(kg)</t>
  </si>
  <si>
    <t>Max. Cruise Time
(approx)
(s)</t>
  </si>
  <si>
    <t>Max. Cruise Range
(m)</t>
  </si>
  <si>
    <t>Max. Cruise Range
(mi)</t>
  </si>
  <si>
    <t>Other Segment Total Distance
(mi)</t>
  </si>
  <si>
    <t>Max. Mission Range
(mi)</t>
  </si>
  <si>
    <t>Max. Mission Energy
(kWh)</t>
  </si>
  <si>
    <t>Max. Empty Weight
(kg)</t>
  </si>
  <si>
    <t>Max. Battery Weight
(kg)</t>
  </si>
  <si>
    <t>Archer Midnight</t>
  </si>
  <si>
    <t>1500 ft</t>
  </si>
  <si>
    <t>3000 ft</t>
  </si>
  <si>
    <t>Joby S4</t>
  </si>
  <si>
    <t>Supernal S-A2</t>
  </si>
  <si>
    <r>
      <rPr>
        <b/>
        <u/>
        <sz val="11"/>
        <color theme="1"/>
        <rFont val="Calibri"/>
        <charset val="134"/>
        <scheme val="minor"/>
      </rPr>
      <t>Note</t>
    </r>
    <r>
      <rPr>
        <b/>
        <sz val="11"/>
        <color theme="1"/>
        <rFont val="Calibri"/>
        <charset val="134"/>
        <scheme val="minor"/>
      </rPr>
      <t>:</t>
    </r>
  </si>
  <si>
    <t>1) Guess t_cruise for maximum range</t>
  </si>
  <si>
    <t>2) Run log_mass_breakdown.py</t>
  </si>
  <si>
    <r>
      <rPr>
        <sz val="11"/>
        <color theme="1"/>
        <rFont val="Calibri"/>
        <charset val="134"/>
        <scheme val="minor"/>
      </rPr>
      <t>3) Check if converged MTOW</t>
    </r>
    <r>
      <rPr>
        <sz val="11"/>
        <color theme="1"/>
        <rFont val="Calibri Light"/>
        <charset val="134"/>
      </rPr>
      <t xml:space="preserve"> ≈</t>
    </r>
    <r>
      <rPr>
        <sz val="11"/>
        <color theme="1"/>
        <rFont val="Calibri"/>
        <charset val="134"/>
        <scheme val="minor"/>
      </rPr>
      <t xml:space="preserve"> baseline</t>
    </r>
  </si>
  <si>
    <t>4) If not, keep guessing t_cruise</t>
  </si>
  <si>
    <t>5) Use final t_cruise to add into the JSON config file</t>
  </si>
  <si>
    <t>This file' calculation are considering a full mission profile (main + reserve) + WITHOUT SIZING MTOW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</si>
</sst>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0_ "/>
  </numFmts>
  <fonts count="2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 Light"/>
      <charset val="134"/>
    </font>
    <font>
      <b/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5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7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78" fontId="0" fillId="0" borderId="6" xfId="0" applyNumberFormat="1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 wrapText="1"/>
    </xf>
    <xf numFmtId="178" fontId="1" fillId="0" borderId="7" xfId="0" applyNumberFormat="1" applyFont="1" applyBorder="1" applyAlignment="1">
      <alignment horizontal="center" vertical="center" wrapText="1"/>
    </xf>
    <xf numFmtId="179" fontId="0" fillId="0" borderId="7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178" fontId="0" fillId="3" borderId="4" xfId="0" applyNumberFormat="1" applyFill="1" applyBorder="1" applyAlignment="1">
      <alignment horizontal="center" vertical="center" wrapText="1"/>
    </xf>
    <xf numFmtId="178" fontId="0" fillId="3" borderId="0" xfId="0" applyNumberFormat="1" applyFill="1" applyAlignment="1">
      <alignment horizontal="center" vertical="center" wrapText="1"/>
    </xf>
    <xf numFmtId="178" fontId="1" fillId="3" borderId="0" xfId="0" applyNumberFormat="1" applyFont="1" applyFill="1" applyAlignment="1">
      <alignment horizontal="center" vertical="center" wrapText="1"/>
    </xf>
    <xf numFmtId="179" fontId="0" fillId="3" borderId="0" xfId="0" applyNumberFormat="1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78" fontId="0" fillId="0" borderId="4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78" fontId="0" fillId="0" borderId="10" xfId="0" applyNumberFormat="1" applyBorder="1" applyAlignment="1">
      <alignment horizontal="center" vertical="center" wrapText="1"/>
    </xf>
    <xf numFmtId="178" fontId="1" fillId="0" borderId="10" xfId="0" applyNumberFormat="1" applyFont="1" applyBorder="1" applyAlignment="1">
      <alignment horizontal="center" vertical="center" wrapText="1"/>
    </xf>
    <xf numFmtId="179" fontId="0" fillId="0" borderId="10" xfId="0" applyNumberFormat="1" applyBorder="1" applyAlignment="1">
      <alignment horizontal="center" vertical="center" wrapText="1"/>
    </xf>
    <xf numFmtId="179" fontId="0" fillId="0" borderId="10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179" fontId="1" fillId="0" borderId="7" xfId="0" applyNumberFormat="1" applyFont="1" applyBorder="1" applyAlignment="1">
      <alignment horizontal="center" vertical="center" wrapText="1"/>
    </xf>
    <xf numFmtId="179" fontId="0" fillId="0" borderId="11" xfId="0" applyNumberFormat="1" applyBorder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 wrapText="1"/>
    </xf>
    <xf numFmtId="179" fontId="0" fillId="0" borderId="5" xfId="0" applyNumberFormat="1" applyBorder="1" applyAlignment="1">
      <alignment horizontal="center" vertical="center" wrapText="1"/>
    </xf>
    <xf numFmtId="179" fontId="1" fillId="3" borderId="0" xfId="0" applyNumberFormat="1" applyFont="1" applyFill="1" applyAlignment="1">
      <alignment horizontal="center" vertical="center" wrapText="1"/>
    </xf>
    <xf numFmtId="179" fontId="0" fillId="3" borderId="5" xfId="0" applyNumberFormat="1" applyFill="1" applyBorder="1" applyAlignment="1">
      <alignment horizontal="center" vertical="center" wrapText="1"/>
    </xf>
    <xf numFmtId="179" fontId="1" fillId="0" borderId="10" xfId="0" applyNumberFormat="1" applyFont="1" applyBorder="1" applyAlignment="1">
      <alignment horizontal="center" vertical="center" wrapText="1"/>
    </xf>
    <xf numFmtId="179" fontId="0" fillId="0" borderId="9" xfId="0" applyNumberForma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L16" sqref="L16"/>
    </sheetView>
  </sheetViews>
  <sheetFormatPr defaultColWidth="8.88888888888889" defaultRowHeight="14.4"/>
  <cols>
    <col min="1" max="1" width="15.7777777777778" style="1" customWidth="1"/>
    <col min="2" max="2" width="10.1111111111111" style="1" customWidth="1"/>
    <col min="3" max="12" width="13.7777777777778" style="1" customWidth="1"/>
    <col min="13" max="16384" width="8.88888888888889" style="1"/>
  </cols>
  <sheetData>
    <row r="1" spans="1:2">
      <c r="A1" s="2" t="s">
        <v>0</v>
      </c>
      <c r="B1" s="3">
        <v>67.1</v>
      </c>
    </row>
    <row r="3" ht="72" customHeight="1" spans="1:12">
      <c r="A3" s="4" t="s">
        <v>1</v>
      </c>
      <c r="B3" s="5" t="s">
        <v>2</v>
      </c>
      <c r="C3" s="6" t="s">
        <v>3</v>
      </c>
      <c r="D3" s="6" t="s">
        <v>4</v>
      </c>
      <c r="E3" s="7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6" t="s">
        <v>10</v>
      </c>
      <c r="K3" s="6" t="s">
        <v>11</v>
      </c>
      <c r="L3" s="5" t="s">
        <v>12</v>
      </c>
    </row>
    <row r="4" spans="1:12">
      <c r="A4" s="8" t="s">
        <v>13</v>
      </c>
      <c r="B4" s="9" t="s">
        <v>14</v>
      </c>
      <c r="C4" s="10">
        <v>3175</v>
      </c>
      <c r="D4" s="11">
        <v>3175.321402</v>
      </c>
      <c r="E4" s="12">
        <v>1972</v>
      </c>
      <c r="F4" s="11">
        <f>E4*$B$1</f>
        <v>132321.2</v>
      </c>
      <c r="G4" s="13">
        <f t="shared" ref="G4:G9" si="0">F4*0.000621371</f>
        <v>82.2205563652</v>
      </c>
      <c r="H4" s="13">
        <v>6.7749322872</v>
      </c>
      <c r="I4" s="35">
        <f t="shared" ref="I4:I9" si="1">G4+H4</f>
        <v>88.9954886524</v>
      </c>
      <c r="J4" s="13">
        <v>166.941145</v>
      </c>
      <c r="K4" s="13">
        <v>1703.542741</v>
      </c>
      <c r="L4" s="36">
        <v>1017.778661</v>
      </c>
    </row>
    <row r="5" spans="1:12">
      <c r="A5" s="8"/>
      <c r="B5" s="9" t="s">
        <v>15</v>
      </c>
      <c r="C5" s="14"/>
      <c r="D5" s="15">
        <v>3175.496799</v>
      </c>
      <c r="E5" s="16">
        <v>1915</v>
      </c>
      <c r="F5" s="1">
        <f>E5*$B$1</f>
        <v>128496.5</v>
      </c>
      <c r="G5" s="17">
        <f t="shared" si="0"/>
        <v>79.8439987015</v>
      </c>
      <c r="H5" s="17">
        <v>12.3855395946</v>
      </c>
      <c r="I5" s="37">
        <f t="shared" si="1"/>
        <v>92.2295382961</v>
      </c>
      <c r="J5" s="17">
        <v>165.553824</v>
      </c>
      <c r="K5" s="17">
        <v>1712.176119</v>
      </c>
      <c r="L5" s="38">
        <v>1009.320679</v>
      </c>
    </row>
    <row r="6" spans="1:12">
      <c r="A6" s="18" t="s">
        <v>16</v>
      </c>
      <c r="B6" s="19" t="s">
        <v>14</v>
      </c>
      <c r="C6" s="20">
        <v>2404</v>
      </c>
      <c r="D6" s="21">
        <v>2404.123693</v>
      </c>
      <c r="E6" s="22">
        <v>921</v>
      </c>
      <c r="F6" s="21">
        <f>E6*$B$1</f>
        <v>61799.1</v>
      </c>
      <c r="G6" s="23">
        <f t="shared" si="0"/>
        <v>38.4001685661</v>
      </c>
      <c r="H6" s="23">
        <v>6.7749322872</v>
      </c>
      <c r="I6" s="39">
        <f t="shared" si="1"/>
        <v>45.1751008533</v>
      </c>
      <c r="J6" s="23">
        <v>58.880014</v>
      </c>
      <c r="K6" s="23">
        <v>1591.154861</v>
      </c>
      <c r="L6" s="40">
        <v>358.969756</v>
      </c>
    </row>
    <row r="7" spans="1:12">
      <c r="A7" s="18"/>
      <c r="B7" s="19" t="s">
        <v>15</v>
      </c>
      <c r="C7" s="24"/>
      <c r="D7" s="21">
        <v>2404.395749</v>
      </c>
      <c r="E7" s="22">
        <v>767</v>
      </c>
      <c r="F7" s="21">
        <f>E7*$B$1</f>
        <v>51465.7</v>
      </c>
      <c r="G7" s="23">
        <f t="shared" si="0"/>
        <v>31.9792934747</v>
      </c>
      <c r="H7" s="23">
        <v>12.3855395946</v>
      </c>
      <c r="I7" s="39">
        <f t="shared" si="1"/>
        <v>44.3648330693</v>
      </c>
      <c r="J7" s="23">
        <v>57.669972</v>
      </c>
      <c r="K7" s="23">
        <v>1598.803175</v>
      </c>
      <c r="L7" s="40">
        <v>351.592574</v>
      </c>
    </row>
    <row r="8" spans="1:12">
      <c r="A8" s="8" t="s">
        <v>17</v>
      </c>
      <c r="B8" s="9" t="s">
        <v>14</v>
      </c>
      <c r="C8" s="25">
        <v>3200</v>
      </c>
      <c r="D8" s="15">
        <v>3200.333335</v>
      </c>
      <c r="E8" s="16">
        <v>1531</v>
      </c>
      <c r="F8" s="15">
        <f>E8*$B$1</f>
        <v>102730.1</v>
      </c>
      <c r="G8" s="17">
        <f t="shared" si="0"/>
        <v>63.8335049671</v>
      </c>
      <c r="H8" s="17">
        <v>6.7749322872</v>
      </c>
      <c r="I8" s="37">
        <f t="shared" si="1"/>
        <v>70.6084372543</v>
      </c>
      <c r="J8" s="17">
        <v>134.24831</v>
      </c>
      <c r="K8" s="17">
        <v>1927.870844</v>
      </c>
      <c r="L8" s="38">
        <v>818.462491</v>
      </c>
    </row>
    <row r="9" spans="1:12">
      <c r="A9" s="26"/>
      <c r="B9" s="27" t="s">
        <v>15</v>
      </c>
      <c r="C9" s="26"/>
      <c r="D9" s="28">
        <v>3200.119274</v>
      </c>
      <c r="E9" s="29">
        <v>1447</v>
      </c>
      <c r="F9" s="28">
        <f>E9*$B$1</f>
        <v>97093.7</v>
      </c>
      <c r="G9" s="30">
        <f t="shared" si="0"/>
        <v>60.3312094627</v>
      </c>
      <c r="H9" s="31">
        <v>12.3855395946</v>
      </c>
      <c r="I9" s="41">
        <f t="shared" si="1"/>
        <v>72.7167490573</v>
      </c>
      <c r="J9" s="30">
        <v>132.943718</v>
      </c>
      <c r="K9" s="30">
        <v>1935.610402</v>
      </c>
      <c r="L9" s="42">
        <v>810.508873</v>
      </c>
    </row>
    <row r="10" spans="11:11">
      <c r="K10" s="17"/>
    </row>
    <row r="11" spans="2:2">
      <c r="B11" s="32"/>
    </row>
    <row r="12" spans="1:2">
      <c r="A12" s="33" t="s">
        <v>18</v>
      </c>
      <c r="B12" s="32" t="s">
        <v>19</v>
      </c>
    </row>
    <row r="13" spans="2:2">
      <c r="B13" s="32" t="s">
        <v>20</v>
      </c>
    </row>
    <row r="14" spans="2:2">
      <c r="B14" s="34" t="s">
        <v>21</v>
      </c>
    </row>
    <row r="15" spans="2:2">
      <c r="B15" s="32" t="s">
        <v>22</v>
      </c>
    </row>
    <row r="16" spans="2:2">
      <c r="B16" s="32" t="s">
        <v>23</v>
      </c>
    </row>
    <row r="17" spans="2:2">
      <c r="B17" s="3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Max. Mission Range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2025-10-09T05:34:12Z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7F0D986F09C54B05A6C596E0358D2797_12</vt:lpwstr>
  </property>
  <property fmtid="{D5CDD505-2E9C-101B-9397-08002B2CF9AE}" pid="3" name="KSOProductBuildVer">
    <vt:lpwstr>1033-12.2.0.22549</vt:lpwstr>
  </property>
</Properties>
</file>