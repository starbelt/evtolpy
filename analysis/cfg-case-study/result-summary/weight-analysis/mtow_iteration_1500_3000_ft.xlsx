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<sst xmlns="http://schemas.openxmlformats.org/spreadsheetml/2006/main" count="89" uniqueCount="22">
  <si>
    <t>Archer Midnight</t>
  </si>
  <si>
    <t>MTOW</t>
  </si>
  <si>
    <t>Empty Weight</t>
  </si>
  <si>
    <t>Battery Weight</t>
  </si>
  <si>
    <t>Payload
(kg)</t>
  </si>
  <si>
    <t>Battery Weight Fraction</t>
  </si>
  <si>
    <t>Total Mission Energy</t>
  </si>
  <si>
    <t>Altitude</t>
  </si>
  <si>
    <t>Mission Range</t>
  </si>
  <si>
    <t>Initial Guess
(kg)</t>
  </si>
  <si>
    <t>Final
(kg)</t>
  </si>
  <si>
    <t>% Difference</t>
  </si>
  <si>
    <t>Without Resizing
(kWh)</t>
  </si>
  <si>
    <t>With
Resizing
(kWh)</t>
  </si>
  <si>
    <t>1500 ft</t>
  </si>
  <si>
    <t>30 mi</t>
  </si>
  <si>
    <t>45 mi</t>
  </si>
  <si>
    <t>60 mi</t>
  </si>
  <si>
    <t>3000 ft</t>
  </si>
  <si>
    <t>Joby S4</t>
  </si>
  <si>
    <t>Supernal S-A2</t>
  </si>
  <si>
    <t>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</si>
</sst>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  <numFmt numFmtId="180" formatCode="0.00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9" fillId="0" borderId="16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18" applyNumberFormat="0" applyAlignment="0" applyProtection="0">
      <alignment vertical="center"/>
    </xf>
    <xf numFmtId="0" fontId="12" fillId="8" borderId="19" applyNumberFormat="0" applyAlignment="0" applyProtection="0">
      <alignment vertical="center"/>
    </xf>
    <xf numFmtId="0" fontId="13" fillId="8" borderId="18" applyNumberFormat="0" applyAlignment="0" applyProtection="0">
      <alignment vertical="center"/>
    </xf>
    <xf numFmtId="0" fontId="14" fillId="9" borderId="20" applyNumberFormat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9" fontId="0" fillId="3" borderId="7" xfId="3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78" fontId="0" fillId="3" borderId="4" xfId="0" applyNumberFormat="1" applyFill="1" applyBorder="1" applyAlignment="1">
      <alignment horizontal="center" vertical="center"/>
    </xf>
    <xf numFmtId="178" fontId="0" fillId="3" borderId="0" xfId="0" applyNumberFormat="1" applyFill="1" applyBorder="1" applyAlignment="1">
      <alignment horizontal="center" vertical="center"/>
    </xf>
    <xf numFmtId="179" fontId="0" fillId="3" borderId="5" xfId="3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5" xfId="3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0" xfId="3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 wrapText="1"/>
    </xf>
    <xf numFmtId="178" fontId="2" fillId="3" borderId="8" xfId="0" applyNumberFormat="1" applyFont="1" applyFill="1" applyBorder="1" applyAlignment="1">
      <alignment horizontal="center" vertical="center"/>
    </xf>
    <xf numFmtId="179" fontId="2" fillId="3" borderId="7" xfId="3" applyNumberFormat="1" applyFont="1" applyFill="1" applyBorder="1" applyAlignment="1">
      <alignment horizontal="center" vertical="center"/>
    </xf>
    <xf numFmtId="178" fontId="2" fillId="3" borderId="6" xfId="0" applyNumberFormat="1" applyFont="1" applyFill="1" applyBorder="1" applyAlignment="1">
      <alignment horizontal="center" vertical="center"/>
    </xf>
    <xf numFmtId="178" fontId="2" fillId="3" borderId="0" xfId="0" applyNumberFormat="1" applyFont="1" applyFill="1" applyBorder="1" applyAlignment="1">
      <alignment horizontal="center" vertical="center"/>
    </xf>
    <xf numFmtId="179" fontId="2" fillId="3" borderId="5" xfId="3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0" borderId="0" xfId="0" applyNumberFormat="1" applyFont="1" applyBorder="1" applyAlignment="1">
      <alignment horizontal="center" vertical="center"/>
    </xf>
    <xf numFmtId="179" fontId="2" fillId="0" borderId="5" xfId="3" applyNumberFormat="1" applyFont="1" applyBorder="1" applyAlignment="1">
      <alignment horizontal="center" vertical="center"/>
    </xf>
    <xf numFmtId="178" fontId="2" fillId="0" borderId="4" xfId="0" applyNumberFormat="1" applyFont="1" applyBorder="1" applyAlignment="1">
      <alignment horizontal="center" vertical="center"/>
    </xf>
    <xf numFmtId="178" fontId="2" fillId="0" borderId="11" xfId="0" applyNumberFormat="1" applyFont="1" applyBorder="1" applyAlignment="1">
      <alignment horizontal="center" vertical="center"/>
    </xf>
    <xf numFmtId="179" fontId="2" fillId="0" borderId="10" xfId="3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9" fontId="0" fillId="3" borderId="6" xfId="3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9" fontId="0" fillId="3" borderId="4" xfId="3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/>
    </xf>
    <xf numFmtId="180" fontId="0" fillId="3" borderId="0" xfId="0" applyNumberFormat="1" applyFill="1" applyBorder="1" applyAlignment="1">
      <alignment horizontal="center" vertical="center"/>
    </xf>
    <xf numFmtId="9" fontId="0" fillId="0" borderId="4" xfId="3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9" fontId="0" fillId="0" borderId="9" xfId="3" applyFill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1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9" fontId="0" fillId="3" borderId="12" xfId="3" applyFill="1" applyBorder="1" applyAlignment="1">
      <alignment horizontal="center" vertical="center"/>
    </xf>
    <xf numFmtId="9" fontId="0" fillId="3" borderId="14" xfId="3" applyFill="1" applyBorder="1" applyAlignment="1">
      <alignment horizontal="center" vertical="center"/>
    </xf>
    <xf numFmtId="9" fontId="0" fillId="0" borderId="14" xfId="3" applyFill="1" applyBorder="1" applyAlignment="1">
      <alignment horizontal="center" vertical="center"/>
    </xf>
    <xf numFmtId="9" fontId="0" fillId="0" borderId="13" xfId="3" applyFill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 wrapText="1"/>
    </xf>
    <xf numFmtId="178" fontId="0" fillId="0" borderId="8" xfId="0" applyNumberFormat="1" applyFont="1" applyFill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9" fontId="2" fillId="3" borderId="12" xfId="3" applyFont="1" applyFill="1" applyBorder="1" applyAlignment="1">
      <alignment horizontal="center" vertical="center"/>
    </xf>
    <xf numFmtId="180" fontId="2" fillId="3" borderId="6" xfId="0" applyNumberFormat="1" applyFont="1" applyFill="1" applyBorder="1" applyAlignment="1">
      <alignment horizontal="center" vertical="center"/>
    </xf>
    <xf numFmtId="180" fontId="2" fillId="3" borderId="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3" borderId="14" xfId="3" applyFont="1" applyFill="1" applyBorder="1" applyAlignment="1">
      <alignment horizontal="center" vertical="center"/>
    </xf>
    <xf numFmtId="180" fontId="2" fillId="3" borderId="4" xfId="0" applyNumberFormat="1" applyFont="1" applyFill="1" applyBorder="1" applyAlignment="1">
      <alignment horizontal="center" vertical="center"/>
    </xf>
    <xf numFmtId="180" fontId="2" fillId="3" borderId="0" xfId="0" applyNumberFormat="1" applyFont="1" applyFill="1" applyBorder="1" applyAlignment="1">
      <alignment horizontal="center" vertical="center"/>
    </xf>
    <xf numFmtId="178" fontId="2" fillId="3" borderId="5" xfId="0" applyNumberFormat="1" applyFont="1" applyFill="1" applyBorder="1" applyAlignment="1">
      <alignment horizontal="center" vertical="center"/>
    </xf>
    <xf numFmtId="9" fontId="2" fillId="0" borderId="14" xfId="3" applyFont="1" applyFill="1" applyBorder="1" applyAlignment="1">
      <alignment horizontal="center" vertical="center"/>
    </xf>
    <xf numFmtId="180" fontId="2" fillId="0" borderId="4" xfId="0" applyNumberFormat="1" applyFont="1" applyBorder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78" fontId="2" fillId="0" borderId="10" xfId="0" applyNumberFormat="1" applyFont="1" applyBorder="1" applyAlignment="1">
      <alignment horizontal="center" vertical="center"/>
    </xf>
    <xf numFmtId="180" fontId="2" fillId="0" borderId="9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Archer Midnight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All!$D$3:$D$5</c:f>
              <c:numCache>
                <c:formatCode>0.0_ </c:formatCode>
                <c:ptCount val="3"/>
                <c:pt idx="0">
                  <c:v>1995.738502</c:v>
                </c:pt>
                <c:pt idx="1">
                  <c:v>2231.68832</c:v>
                </c:pt>
                <c:pt idx="2">
                  <c:v>2504.770182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All!$D$6:$D$8</c:f>
              <c:numCache>
                <c:formatCode>0.0_ </c:formatCode>
                <c:ptCount val="3"/>
                <c:pt idx="0">
                  <c:v>1950.080367</c:v>
                </c:pt>
                <c:pt idx="1">
                  <c:v>2180.475032</c:v>
                </c:pt>
                <c:pt idx="2">
                  <c:v>2448.381243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3175.0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0431547461107277"/>
                  <c:y val="0.0004226444304871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All!$C$3:$C$5</c:f>
              <c:numCache>
                <c:formatCode>0.0_ </c:formatCode>
                <c:ptCount val="3"/>
                <c:pt idx="0">
                  <c:v>3175</c:v>
                </c:pt>
                <c:pt idx="1">
                  <c:v>3175</c:v>
                </c:pt>
                <c:pt idx="2">
                  <c:v>3175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4758568215015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b44b227-a188-472c-8a21-ec7b862a521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Joby S4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"/>
                  <c:y val="0.0932093023255814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0.00277510940335148"/>
                  <c:y val="0.1099534883720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0402390863485964"/>
                  <c:y val="0.0243720930232558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All!$D$12:$D$14</c:f>
              <c:numCache>
                <c:formatCode>0.0_ </c:formatCode>
                <c:ptCount val="3"/>
                <c:pt idx="0">
                  <c:v>2159.144378</c:v>
                </c:pt>
                <c:pt idx="1">
                  <c:v>2442.19525</c:v>
                </c:pt>
                <c:pt idx="2">
                  <c:v>2908.644764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All!$D$15:$D$17</c:f>
              <c:numCache>
                <c:formatCode>0.0_ </c:formatCode>
                <c:ptCount val="3"/>
                <c:pt idx="0">
                  <c:v>2190.733039</c:v>
                </c:pt>
                <c:pt idx="1">
                  <c:v>2515.541883</c:v>
                </c:pt>
                <c:pt idx="2">
                  <c:v>3217.176714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"="</c:f>
              <c:strCache>
                <c:ptCount val="1"/>
                <c:pt idx="0">
                  <c:v>=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layout>
                <c:manualLayout>
                  <c:x val="0"/>
                  <c:y val="0.011472982975573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2404.0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All!$C$12:$C$14</c:f>
              <c:numCache>
                <c:formatCode>0.0_ </c:formatCode>
                <c:ptCount val="3"/>
                <c:pt idx="0">
                  <c:v>2404</c:v>
                </c:pt>
                <c:pt idx="1">
                  <c:v>2404</c:v>
                </c:pt>
                <c:pt idx="2">
                  <c:v>2404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30486919045724"/>
              <c:y val="0.25024913931724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Supernal A-S2</a:t>
            </a:r>
          </a:p>
        </c:rich>
      </c:tx>
      <c:layout>
        <c:manualLayout>
          <c:xMode val="edge"/>
          <c:yMode val="edge"/>
          <c:x val="0.296916675557452"/>
          <c:y val="0.0252734817050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408148209869491"/>
                  <c:y val="0.01985682276818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All!$D$21:$D$23</c:f>
              <c:numCache>
                <c:formatCode>0.0_ </c:formatCode>
                <c:ptCount val="3"/>
                <c:pt idx="0">
                  <c:v>2357.661753</c:v>
                </c:pt>
                <c:pt idx="1">
                  <c:v>2675.582315</c:v>
                </c:pt>
                <c:pt idx="2">
                  <c:v>3080.300227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624546990127725"/>
                  <c:y val="-0.0147532107013209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0236018471010775"/>
                  <c:y val="-0.018950437317784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All!$D$24:$D$26</c:f>
              <c:numCache>
                <c:formatCode>0.0_ </c:formatCode>
                <c:ptCount val="3"/>
                <c:pt idx="0">
                  <c:v>2305.625833</c:v>
                </c:pt>
                <c:pt idx="1">
                  <c:v>2613.419412</c:v>
                </c:pt>
                <c:pt idx="2">
                  <c:v>3007.956127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>
                <c:manualLayout>
                  <c:x val="-0.0321164757520608"/>
                  <c:y val="-0.0332717190388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38539770902473"/>
                  <c:y val="-0.051016635859519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All!$C$21:$C$23</c:f>
              <c:numCache>
                <c:formatCode>0.0_ </c:formatCode>
                <c:ptCount val="3"/>
                <c:pt idx="0">
                  <c:v>3350</c:v>
                </c:pt>
                <c:pt idx="1">
                  <c:v>3350</c:v>
                </c:pt>
                <c:pt idx="2">
                  <c:v>3350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398272112381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252095</xdr:colOff>
      <xdr:row>0</xdr:row>
      <xdr:rowOff>133350</xdr:rowOff>
    </xdr:from>
    <xdr:to>
      <xdr:col>27</xdr:col>
      <xdr:colOff>18415</xdr:colOff>
      <xdr:row>10</xdr:row>
      <xdr:rowOff>413385</xdr:rowOff>
    </xdr:to>
    <xdr:graphicFrame>
      <xdr:nvGraphicFramePr>
        <xdr:cNvPr id="3" name="Chart 2"/>
        <xdr:cNvGraphicFramePr/>
      </xdr:nvGraphicFramePr>
      <xdr:xfrm>
        <a:off x="13206095" y="133350"/>
        <a:ext cx="5938520" cy="343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281940</xdr:colOff>
      <xdr:row>11</xdr:row>
      <xdr:rowOff>120015</xdr:rowOff>
    </xdr:from>
    <xdr:to>
      <xdr:col>27</xdr:col>
      <xdr:colOff>48260</xdr:colOff>
      <xdr:row>24</xdr:row>
      <xdr:rowOff>62230</xdr:rowOff>
    </xdr:to>
    <xdr:graphicFrame>
      <xdr:nvGraphicFramePr>
        <xdr:cNvPr id="4" name="Chart 3"/>
        <xdr:cNvGraphicFramePr/>
      </xdr:nvGraphicFramePr>
      <xdr:xfrm>
        <a:off x="13235940" y="3909695"/>
        <a:ext cx="5938520" cy="3429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26</xdr:row>
      <xdr:rowOff>13970</xdr:rowOff>
    </xdr:from>
    <xdr:to>
      <xdr:col>27</xdr:col>
      <xdr:colOff>23495</xdr:colOff>
      <xdr:row>44</xdr:row>
      <xdr:rowOff>157480</xdr:rowOff>
    </xdr:to>
    <xdr:graphicFrame>
      <xdr:nvGraphicFramePr>
        <xdr:cNvPr id="5" name="Chart 4"/>
        <xdr:cNvGraphicFramePr/>
      </xdr:nvGraphicFramePr>
      <xdr:xfrm>
        <a:off x="13218160" y="7656830"/>
        <a:ext cx="5931535" cy="3435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0.781875142258161</cdr:x>
      <cdr:y>0.39708736019313</cdr:y>
    </cdr:from>
    <cdr:to>
      <cdr:x>0.992113977001655</cdr:x>
      <cdr:y>0.457916853280688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4635237" y="1363630"/>
          <a:ext cx="1246371" cy="208893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p>
          <a:r>
            <a:rPr lang="en-US" sz="1000">
              <a:solidFill>
                <a:srgbClr val="FF0000"/>
              </a:solidFill>
            </a:rPr>
            <a:t>Initial Guess MTOW</a:t>
          </a:r>
          <a:endParaRPr lang="en-US" sz="1000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tabSelected="1" zoomScale="55" zoomScaleNormal="55" topLeftCell="K6" workbookViewId="0">
      <selection activeCell="AC33" sqref="AC33"/>
    </sheetView>
  </sheetViews>
  <sheetFormatPr defaultColWidth="9" defaultRowHeight="14.4"/>
  <cols>
    <col min="1" max="1" width="10.7777777777778" style="2" customWidth="1"/>
    <col min="2" max="2" width="15.7777777777778" style="2" customWidth="1"/>
    <col min="3" max="11" width="12.7777777777778" style="2" customWidth="1"/>
    <col min="12" max="13" width="12.7777777777778" style="2" hidden="1" customWidth="1"/>
    <col min="14" max="16" width="12.7777777777778" style="2" customWidth="1"/>
    <col min="17" max="16383" width="9" style="2"/>
  </cols>
  <sheetData>
    <row r="1" ht="31" customHeight="1" spans="1:16">
      <c r="A1" s="3" t="s">
        <v>0</v>
      </c>
      <c r="B1" s="4"/>
      <c r="C1" s="5" t="s">
        <v>1</v>
      </c>
      <c r="D1" s="6"/>
      <c r="E1" s="7"/>
      <c r="F1" s="5" t="s">
        <v>2</v>
      </c>
      <c r="G1" s="6"/>
      <c r="H1" s="7"/>
      <c r="I1" s="5" t="s">
        <v>3</v>
      </c>
      <c r="J1" s="6"/>
      <c r="K1" s="7"/>
      <c r="L1" s="50" t="s">
        <v>4</v>
      </c>
      <c r="M1" s="51" t="s">
        <v>5</v>
      </c>
      <c r="N1" s="52" t="s">
        <v>6</v>
      </c>
      <c r="O1" s="53"/>
      <c r="P1" s="54"/>
    </row>
    <row r="2" s="1" customFormat="1" ht="50" customHeight="1" spans="1:16">
      <c r="A2" s="8" t="s">
        <v>7</v>
      </c>
      <c r="B2" s="9" t="s">
        <v>8</v>
      </c>
      <c r="C2" s="8" t="s">
        <v>9</v>
      </c>
      <c r="D2" s="10" t="s">
        <v>10</v>
      </c>
      <c r="E2" s="9" t="s">
        <v>11</v>
      </c>
      <c r="F2" s="8" t="s">
        <v>9</v>
      </c>
      <c r="G2" s="10" t="s">
        <v>10</v>
      </c>
      <c r="H2" s="9" t="s">
        <v>11</v>
      </c>
      <c r="I2" s="8" t="s">
        <v>9</v>
      </c>
      <c r="J2" s="10" t="s">
        <v>10</v>
      </c>
      <c r="K2" s="9" t="s">
        <v>11</v>
      </c>
      <c r="L2" s="9"/>
      <c r="M2" s="55"/>
      <c r="N2" s="56" t="s">
        <v>12</v>
      </c>
      <c r="O2" s="57" t="s">
        <v>13</v>
      </c>
      <c r="P2" s="58" t="s">
        <v>11</v>
      </c>
    </row>
    <row r="3" spans="1:16">
      <c r="A3" s="11" t="s">
        <v>14</v>
      </c>
      <c r="B3" s="12" t="s">
        <v>15</v>
      </c>
      <c r="C3" s="13">
        <v>3175</v>
      </c>
      <c r="D3" s="14">
        <v>1995.738502</v>
      </c>
      <c r="E3" s="15">
        <f>($C$3-D3)/$C$3</f>
        <v>0.371420944251969</v>
      </c>
      <c r="F3" s="13">
        <v>1702.792913</v>
      </c>
      <c r="G3" s="14">
        <v>1255.427476</v>
      </c>
      <c r="H3" s="15">
        <f>($F$3-G3)/$F$3</f>
        <v>0.262724511938346</v>
      </c>
      <c r="I3" s="13">
        <v>401.98539</v>
      </c>
      <c r="J3" s="14">
        <v>286.311026</v>
      </c>
      <c r="K3" s="15">
        <f t="shared" ref="K3:K8" si="0">(I3-J3)/I3</f>
        <v>0.287757632186583</v>
      </c>
      <c r="L3" s="59">
        <v>454</v>
      </c>
      <c r="M3" s="60">
        <f>J3/D3</f>
        <v>0.143461192793083</v>
      </c>
      <c r="N3" s="61">
        <v>65.935654</v>
      </c>
      <c r="O3" s="62">
        <v>46.962166</v>
      </c>
      <c r="P3" s="15">
        <f>(N3-O3)/N3</f>
        <v>0.28775763716547</v>
      </c>
    </row>
    <row r="4" spans="1:16">
      <c r="A4" s="16"/>
      <c r="B4" s="17" t="s">
        <v>16</v>
      </c>
      <c r="C4" s="18">
        <v>3175</v>
      </c>
      <c r="D4" s="19">
        <v>2231.68832</v>
      </c>
      <c r="E4" s="20">
        <f>($C$3-D4)/$C$3</f>
        <v>0.297106040944882</v>
      </c>
      <c r="F4" s="18"/>
      <c r="G4" s="19">
        <v>1340.700529</v>
      </c>
      <c r="H4" s="20">
        <f>($F$3-G4)/$F$3</f>
        <v>0.212646165740766</v>
      </c>
      <c r="I4" s="18">
        <v>563.080651</v>
      </c>
      <c r="J4" s="19">
        <v>436.987791</v>
      </c>
      <c r="K4" s="20">
        <f t="shared" si="0"/>
        <v>0.223933924520521</v>
      </c>
      <c r="L4" s="22"/>
      <c r="M4" s="63">
        <f>J4/D4</f>
        <v>0.195810403757457</v>
      </c>
      <c r="N4" s="64">
        <v>92.359304</v>
      </c>
      <c r="O4" s="65">
        <v>71.676922</v>
      </c>
      <c r="P4" s="20">
        <f>(N4-O4)/N4</f>
        <v>0.223933930900995</v>
      </c>
    </row>
    <row r="5" spans="1:16">
      <c r="A5" s="16"/>
      <c r="B5" s="17" t="s">
        <v>17</v>
      </c>
      <c r="C5" s="18">
        <v>3175</v>
      </c>
      <c r="D5" s="19">
        <v>2504.770182</v>
      </c>
      <c r="E5" s="20">
        <f>($C$3-D5)/$C$3</f>
        <v>0.211096005669291</v>
      </c>
      <c r="F5" s="18"/>
      <c r="G5" s="19">
        <v>1441.972156</v>
      </c>
      <c r="H5" s="20">
        <f>($F$3-G5)/$F$3</f>
        <v>0.153172329417605</v>
      </c>
      <c r="I5" s="18">
        <v>724.175911</v>
      </c>
      <c r="J5" s="19">
        <v>608.798026</v>
      </c>
      <c r="K5" s="20">
        <f t="shared" si="0"/>
        <v>0.159323008743383</v>
      </c>
      <c r="L5" s="22"/>
      <c r="M5" s="63">
        <f>J5/D5</f>
        <v>0.243055442920471</v>
      </c>
      <c r="N5" s="64">
        <v>118.782954</v>
      </c>
      <c r="O5" s="65">
        <v>99.858096</v>
      </c>
      <c r="P5" s="20">
        <f>(N5-O5)/N5</f>
        <v>0.159323011953382</v>
      </c>
    </row>
    <row r="6" spans="1:16">
      <c r="A6" s="21" t="s">
        <v>18</v>
      </c>
      <c r="B6" s="22" t="s">
        <v>15</v>
      </c>
      <c r="C6" s="23"/>
      <c r="D6" s="24">
        <v>1950.080367</v>
      </c>
      <c r="E6" s="25">
        <f>($C$3-D6)/$C$3</f>
        <v>0.385801459212598</v>
      </c>
      <c r="F6" s="23">
        <v>1710.074299</v>
      </c>
      <c r="G6" s="24">
        <v>1243.069238</v>
      </c>
      <c r="H6" s="25">
        <f>($F$6-G6)/$F$3</f>
        <v>0.274258283220844</v>
      </c>
      <c r="I6" s="23">
        <v>389.736768</v>
      </c>
      <c r="J6" s="24">
        <v>253.011129</v>
      </c>
      <c r="K6" s="25">
        <f t="shared" si="0"/>
        <v>0.350815345705335</v>
      </c>
      <c r="L6" s="22"/>
      <c r="M6" s="66">
        <f>J6/D6</f>
        <v>0.129743949675896</v>
      </c>
      <c r="N6" s="67">
        <v>63.926573</v>
      </c>
      <c r="O6" s="68">
        <v>41.50015</v>
      </c>
      <c r="P6" s="25">
        <f>(N6-O6)/N6</f>
        <v>0.350815348728298</v>
      </c>
    </row>
    <row r="7" spans="1:16">
      <c r="A7" s="21"/>
      <c r="B7" s="22" t="s">
        <v>16</v>
      </c>
      <c r="C7" s="23"/>
      <c r="D7" s="24">
        <v>2180.475032</v>
      </c>
      <c r="E7" s="25">
        <f>($C$3-D7)/$C$3</f>
        <v>0.313236210393701</v>
      </c>
      <c r="F7" s="23"/>
      <c r="G7" s="24">
        <v>1326.516017</v>
      </c>
      <c r="H7" s="25">
        <f>($F$6-G7)/$F$3</f>
        <v>0.225252453819674</v>
      </c>
      <c r="I7" s="23">
        <v>547.273587</v>
      </c>
      <c r="J7" s="24">
        <v>399.959014</v>
      </c>
      <c r="K7" s="25">
        <f t="shared" si="0"/>
        <v>0.269179029464106</v>
      </c>
      <c r="L7" s="22"/>
      <c r="M7" s="66">
        <f t="shared" ref="M7:M17" si="1">J7/D7</f>
        <v>0.183427467928007</v>
      </c>
      <c r="N7" s="67">
        <v>89.76655</v>
      </c>
      <c r="O7" s="68">
        <v>65.603277</v>
      </c>
      <c r="P7" s="25">
        <f t="shared" ref="P7:P15" si="2">(N7-O7)/N7</f>
        <v>0.269179031610327</v>
      </c>
    </row>
    <row r="8" spans="1:16">
      <c r="A8" s="26"/>
      <c r="B8" s="27" t="s">
        <v>17</v>
      </c>
      <c r="C8" s="28"/>
      <c r="D8" s="29">
        <v>2448.381243</v>
      </c>
      <c r="E8" s="30">
        <f>($C$3-D8)/$C$3</f>
        <v>0.228856301417323</v>
      </c>
      <c r="F8" s="28"/>
      <c r="G8" s="29">
        <v>1426.034066</v>
      </c>
      <c r="H8" s="30">
        <f>($F$6-G8)/$F$3</f>
        <v>0.166808442078594</v>
      </c>
      <c r="I8" s="28">
        <v>704.810406</v>
      </c>
      <c r="J8" s="29">
        <v>568.347177</v>
      </c>
      <c r="K8" s="30">
        <f t="shared" si="0"/>
        <v>0.193616932778373</v>
      </c>
      <c r="L8" s="27"/>
      <c r="M8" s="69">
        <f t="shared" si="1"/>
        <v>0.232131813060128</v>
      </c>
      <c r="N8" s="70">
        <v>115.606527</v>
      </c>
      <c r="O8" s="71">
        <v>93.223146</v>
      </c>
      <c r="P8" s="30">
        <f t="shared" si="2"/>
        <v>0.193616931334681</v>
      </c>
    </row>
    <row r="9" ht="50" customHeight="1" spans="3:15">
      <c r="C9" s="31"/>
      <c r="D9" s="31"/>
      <c r="E9" s="31"/>
      <c r="F9" s="31"/>
      <c r="G9" s="31"/>
      <c r="H9" s="31"/>
      <c r="I9" s="31"/>
      <c r="J9" s="31"/>
      <c r="K9" s="31"/>
      <c r="N9" s="72"/>
      <c r="O9" s="72"/>
    </row>
    <row r="10" ht="31" customHeight="1" spans="1:16">
      <c r="A10" s="3" t="s">
        <v>19</v>
      </c>
      <c r="B10" s="4"/>
      <c r="C10" s="32" t="s">
        <v>1</v>
      </c>
      <c r="D10" s="33"/>
      <c r="E10" s="34"/>
      <c r="F10" s="32" t="s">
        <v>2</v>
      </c>
      <c r="G10" s="33"/>
      <c r="H10" s="34"/>
      <c r="I10" s="32" t="s">
        <v>3</v>
      </c>
      <c r="J10" s="33"/>
      <c r="K10" s="34"/>
      <c r="L10" s="50" t="s">
        <v>4</v>
      </c>
      <c r="M10" s="73" t="s">
        <v>5</v>
      </c>
      <c r="N10" s="52" t="s">
        <v>6</v>
      </c>
      <c r="O10" s="53"/>
      <c r="P10" s="54"/>
    </row>
    <row r="11" s="1" customFormat="1" ht="50" customHeight="1" spans="1:16">
      <c r="A11" s="8" t="s">
        <v>7</v>
      </c>
      <c r="B11" s="9" t="s">
        <v>8</v>
      </c>
      <c r="C11" s="35" t="s">
        <v>9</v>
      </c>
      <c r="D11" s="36" t="s">
        <v>10</v>
      </c>
      <c r="E11" s="37" t="s">
        <v>11</v>
      </c>
      <c r="F11" s="35" t="s">
        <v>9</v>
      </c>
      <c r="G11" s="36" t="s">
        <v>10</v>
      </c>
      <c r="H11" s="37" t="s">
        <v>11</v>
      </c>
      <c r="I11" s="35" t="s">
        <v>9</v>
      </c>
      <c r="J11" s="36" t="s">
        <v>10</v>
      </c>
      <c r="K11" s="37" t="s">
        <v>11</v>
      </c>
      <c r="L11" s="9"/>
      <c r="M11" s="74"/>
      <c r="N11" s="56" t="s">
        <v>12</v>
      </c>
      <c r="O11" s="57" t="s">
        <v>13</v>
      </c>
      <c r="P11" s="58" t="s">
        <v>11</v>
      </c>
    </row>
    <row r="12" spans="1:16">
      <c r="A12" s="11" t="s">
        <v>14</v>
      </c>
      <c r="B12" s="12" t="s">
        <v>15</v>
      </c>
      <c r="C12" s="13">
        <v>2404</v>
      </c>
      <c r="D12" s="14">
        <v>2159.144378</v>
      </c>
      <c r="E12" s="15">
        <f t="shared" ref="E12:E17" si="3">($C$12-D12)/$C$12</f>
        <v>0.101853420133111</v>
      </c>
      <c r="F12" s="13">
        <v>1590.989629</v>
      </c>
      <c r="G12" s="14">
        <v>1467.537826</v>
      </c>
      <c r="H12" s="15">
        <f t="shared" ref="H12:H17" si="4">($F$12-G12)/$F$12</f>
        <v>0.0775943480395873</v>
      </c>
      <c r="I12" s="13">
        <v>269.272137</v>
      </c>
      <c r="J12" s="14">
        <v>237.606551</v>
      </c>
      <c r="K12" s="15">
        <f t="shared" ref="K12:K17" si="5">(I12-J12)/I12</f>
        <v>0.117596964739059</v>
      </c>
      <c r="L12" s="59">
        <v>454</v>
      </c>
      <c r="M12" s="75">
        <f t="shared" si="1"/>
        <v>0.110046624681992</v>
      </c>
      <c r="N12" s="61">
        <v>44.167362</v>
      </c>
      <c r="O12" s="62">
        <v>38.973415</v>
      </c>
      <c r="P12" s="15">
        <f t="shared" si="2"/>
        <v>0.117596948624643</v>
      </c>
    </row>
    <row r="13" spans="1:16">
      <c r="A13" s="16"/>
      <c r="B13" s="17" t="s">
        <v>16</v>
      </c>
      <c r="C13" s="18">
        <v>2404</v>
      </c>
      <c r="D13" s="19">
        <v>2442.19525</v>
      </c>
      <c r="E13" s="20">
        <f t="shared" si="3"/>
        <v>-0.0158882071547422</v>
      </c>
      <c r="F13" s="18"/>
      <c r="G13" s="19">
        <v>1610.636345</v>
      </c>
      <c r="H13" s="20">
        <f t="shared" si="4"/>
        <v>-0.0123487392009895</v>
      </c>
      <c r="I13" s="18">
        <v>370.628415</v>
      </c>
      <c r="J13" s="19">
        <v>377.558905</v>
      </c>
      <c r="K13" s="20">
        <f t="shared" si="5"/>
        <v>-0.0186992948179647</v>
      </c>
      <c r="L13" s="22"/>
      <c r="M13" s="76">
        <f t="shared" si="1"/>
        <v>0.154598165318682</v>
      </c>
      <c r="N13" s="64">
        <v>60.792326</v>
      </c>
      <c r="O13" s="65">
        <v>61.929099</v>
      </c>
      <c r="P13" s="20">
        <f t="shared" si="2"/>
        <v>-0.0186992845116668</v>
      </c>
    </row>
    <row r="14" spans="1:16">
      <c r="A14" s="16"/>
      <c r="B14" s="17" t="s">
        <v>17</v>
      </c>
      <c r="C14" s="18">
        <v>2404</v>
      </c>
      <c r="D14" s="19">
        <v>2908.644764</v>
      </c>
      <c r="E14" s="20">
        <f t="shared" si="3"/>
        <v>-0.209918787021631</v>
      </c>
      <c r="F14" s="18"/>
      <c r="G14" s="19">
        <v>1859.014144</v>
      </c>
      <c r="H14" s="20">
        <f t="shared" si="4"/>
        <v>-0.168464023972591</v>
      </c>
      <c r="I14" s="18">
        <v>471.984692</v>
      </c>
      <c r="J14" s="19">
        <v>595.63062</v>
      </c>
      <c r="K14" s="20">
        <f t="shared" si="5"/>
        <v>-0.261970208135479</v>
      </c>
      <c r="L14" s="22"/>
      <c r="M14" s="76">
        <f t="shared" si="1"/>
        <v>0.204779431084902</v>
      </c>
      <c r="N14" s="64">
        <v>77.417289</v>
      </c>
      <c r="O14" s="65">
        <v>97.698312</v>
      </c>
      <c r="P14" s="20">
        <f t="shared" si="2"/>
        <v>-0.261970204097434</v>
      </c>
    </row>
    <row r="15" spans="1:16">
      <c r="A15" s="21" t="s">
        <v>18</v>
      </c>
      <c r="B15" s="22" t="s">
        <v>15</v>
      </c>
      <c r="C15" s="23"/>
      <c r="D15" s="24">
        <v>2190.733039</v>
      </c>
      <c r="E15" s="25">
        <f t="shared" si="3"/>
        <v>0.0887133781198002</v>
      </c>
      <c r="F15" s="23">
        <v>1598.032431</v>
      </c>
      <c r="G15" s="24">
        <v>1489.521117</v>
      </c>
      <c r="H15" s="25">
        <f>($F$15-G15)/$F$12</f>
        <v>0.0682036589190111</v>
      </c>
      <c r="I15" s="23">
        <v>280.707372</v>
      </c>
      <c r="J15" s="24">
        <v>247.211921</v>
      </c>
      <c r="K15" s="25">
        <f t="shared" si="5"/>
        <v>0.119325156162981</v>
      </c>
      <c r="L15" s="22"/>
      <c r="M15" s="77">
        <f t="shared" si="1"/>
        <v>0.112844384322083</v>
      </c>
      <c r="N15" s="67">
        <v>46.043027</v>
      </c>
      <c r="O15" s="68">
        <v>40.548935</v>
      </c>
      <c r="P15" s="25">
        <f t="shared" si="2"/>
        <v>0.119325169476803</v>
      </c>
    </row>
    <row r="16" spans="1:16">
      <c r="A16" s="21"/>
      <c r="B16" s="22" t="s">
        <v>16</v>
      </c>
      <c r="C16" s="23"/>
      <c r="D16" s="24">
        <v>2515.541883</v>
      </c>
      <c r="E16" s="25">
        <f t="shared" si="3"/>
        <v>-0.046398453826955</v>
      </c>
      <c r="F16" s="23"/>
      <c r="G16" s="24">
        <v>1656.099411</v>
      </c>
      <c r="H16" s="25">
        <f>($F$15-G16)/$F$12</f>
        <v>-0.0364973969292919</v>
      </c>
      <c r="I16" s="23">
        <v>381.547035</v>
      </c>
      <c r="J16" s="24">
        <v>405.442472</v>
      </c>
      <c r="K16" s="25">
        <f t="shared" si="5"/>
        <v>-0.0626277622626527</v>
      </c>
      <c r="L16" s="22"/>
      <c r="M16" s="77">
        <f t="shared" si="1"/>
        <v>0.16117500358073</v>
      </c>
      <c r="N16" s="67">
        <v>62.583252</v>
      </c>
      <c r="O16" s="68">
        <v>66.502702</v>
      </c>
      <c r="P16" s="25">
        <f t="shared" ref="P16:P26" si="6">(N16-O16)/N16</f>
        <v>-0.0626277777958869</v>
      </c>
    </row>
    <row r="17" spans="1:16">
      <c r="A17" s="26"/>
      <c r="B17" s="27" t="s">
        <v>17</v>
      </c>
      <c r="C17" s="28"/>
      <c r="D17" s="29">
        <v>3217.176714</v>
      </c>
      <c r="E17" s="30">
        <f t="shared" si="3"/>
        <v>-0.338259864392679</v>
      </c>
      <c r="F17" s="28"/>
      <c r="G17" s="29">
        <v>2041.896721</v>
      </c>
      <c r="H17" s="30">
        <f>($F$15-G17)/$F$12</f>
        <v>-0.278986287471268</v>
      </c>
      <c r="I17" s="28">
        <v>482.386697</v>
      </c>
      <c r="J17" s="29">
        <v>721.279993</v>
      </c>
      <c r="K17" s="30">
        <f t="shared" si="5"/>
        <v>-0.495231932152557</v>
      </c>
      <c r="L17" s="27"/>
      <c r="M17" s="78">
        <f t="shared" si="1"/>
        <v>0.224196572684754</v>
      </c>
      <c r="N17" s="70">
        <v>79.123478</v>
      </c>
      <c r="O17" s="71">
        <v>118.307951</v>
      </c>
      <c r="P17" s="30">
        <f t="shared" si="6"/>
        <v>-0.495231933560858</v>
      </c>
    </row>
    <row r="18" ht="50" customHeight="1" spans="3:15">
      <c r="C18" s="31"/>
      <c r="D18" s="31"/>
      <c r="E18" s="31"/>
      <c r="F18" s="31"/>
      <c r="G18" s="31"/>
      <c r="H18" s="31"/>
      <c r="I18" s="31"/>
      <c r="J18" s="31"/>
      <c r="K18" s="31"/>
      <c r="N18" s="72"/>
      <c r="O18" s="72"/>
    </row>
    <row r="19" ht="31" customHeight="1" spans="1:16">
      <c r="A19" s="3" t="s">
        <v>20</v>
      </c>
      <c r="B19" s="4"/>
      <c r="C19" s="32" t="s">
        <v>1</v>
      </c>
      <c r="D19" s="33"/>
      <c r="E19" s="34"/>
      <c r="F19" s="32" t="s">
        <v>2</v>
      </c>
      <c r="G19" s="33"/>
      <c r="H19" s="34"/>
      <c r="I19" s="32" t="s">
        <v>3</v>
      </c>
      <c r="J19" s="33"/>
      <c r="K19" s="34"/>
      <c r="L19" s="50" t="s">
        <v>4</v>
      </c>
      <c r="M19" s="73" t="s">
        <v>5</v>
      </c>
      <c r="N19" s="52" t="s">
        <v>6</v>
      </c>
      <c r="O19" s="53"/>
      <c r="P19" s="54"/>
    </row>
    <row r="20" s="1" customFormat="1" ht="50" customHeight="1" spans="1:16">
      <c r="A20" s="8" t="s">
        <v>7</v>
      </c>
      <c r="B20" s="9" t="s">
        <v>8</v>
      </c>
      <c r="C20" s="35" t="s">
        <v>9</v>
      </c>
      <c r="D20" s="36" t="s">
        <v>10</v>
      </c>
      <c r="E20" s="37" t="s">
        <v>11</v>
      </c>
      <c r="F20" s="35" t="s">
        <v>9</v>
      </c>
      <c r="G20" s="36" t="s">
        <v>10</v>
      </c>
      <c r="H20" s="37" t="s">
        <v>11</v>
      </c>
      <c r="I20" s="79" t="s">
        <v>9</v>
      </c>
      <c r="J20" s="80" t="s">
        <v>10</v>
      </c>
      <c r="K20" s="81" t="s">
        <v>11</v>
      </c>
      <c r="L20" s="9"/>
      <c r="M20" s="74"/>
      <c r="N20" s="56" t="s">
        <v>12</v>
      </c>
      <c r="O20" s="57" t="s">
        <v>13</v>
      </c>
      <c r="P20" s="58" t="s">
        <v>11</v>
      </c>
    </row>
    <row r="21" spans="1:16">
      <c r="A21" s="11" t="s">
        <v>14</v>
      </c>
      <c r="B21" s="12" t="s">
        <v>15</v>
      </c>
      <c r="C21" s="13">
        <v>3350</v>
      </c>
      <c r="D21" s="38">
        <v>2357.661753</v>
      </c>
      <c r="E21" s="39">
        <f t="shared" ref="E21:E26" si="7">($C$21-D21)/$C$21</f>
        <v>0.296220372238806</v>
      </c>
      <c r="F21" s="40">
        <v>2003.143456</v>
      </c>
      <c r="G21" s="38">
        <v>1576.579881</v>
      </c>
      <c r="H21" s="39">
        <f>($F$21-G21)/$F$21</f>
        <v>0.212947092592055</v>
      </c>
      <c r="I21" s="40">
        <v>438.831743</v>
      </c>
      <c r="J21" s="38">
        <v>327.081872</v>
      </c>
      <c r="K21" s="39">
        <f t="shared" ref="K21:K26" si="8">(I21-J21)/I21</f>
        <v>0.254653116559073</v>
      </c>
      <c r="L21" s="82">
        <v>454</v>
      </c>
      <c r="M21" s="83">
        <f t="shared" ref="M21:M26" si="9">J21/D21</f>
        <v>0.138731466285953</v>
      </c>
      <c r="N21" s="84">
        <v>71.979377</v>
      </c>
      <c r="O21" s="85">
        <v>53.649604</v>
      </c>
      <c r="P21" s="39">
        <f t="shared" si="6"/>
        <v>0.254653120990475</v>
      </c>
    </row>
    <row r="22" spans="1:16">
      <c r="A22" s="16"/>
      <c r="B22" s="17" t="s">
        <v>16</v>
      </c>
      <c r="C22" s="18">
        <v>3350</v>
      </c>
      <c r="D22" s="41">
        <v>2675.582315</v>
      </c>
      <c r="E22" s="42">
        <f t="shared" si="7"/>
        <v>0.201318711940298</v>
      </c>
      <c r="F22" s="43"/>
      <c r="G22" s="41">
        <v>1709.426966</v>
      </c>
      <c r="H22" s="42">
        <f>($F$21-G22)/$F$21</f>
        <v>0.146627786003161</v>
      </c>
      <c r="I22" s="43">
        <v>618.834987</v>
      </c>
      <c r="J22" s="41">
        <v>512.155349</v>
      </c>
      <c r="K22" s="42">
        <f t="shared" si="8"/>
        <v>0.172387858219141</v>
      </c>
      <c r="L22" s="86"/>
      <c r="M22" s="87">
        <f t="shared" si="9"/>
        <v>0.191418274118769</v>
      </c>
      <c r="N22" s="88">
        <v>101.504409</v>
      </c>
      <c r="O22" s="89">
        <v>84.006281</v>
      </c>
      <c r="P22" s="42">
        <f t="shared" si="6"/>
        <v>0.172387861496736</v>
      </c>
    </row>
    <row r="23" ht="14" customHeight="1" spans="1:16">
      <c r="A23" s="16"/>
      <c r="B23" s="17" t="s">
        <v>17</v>
      </c>
      <c r="C23" s="18">
        <v>3350</v>
      </c>
      <c r="D23" s="41">
        <v>3080.300227</v>
      </c>
      <c r="E23" s="42">
        <f t="shared" si="7"/>
        <v>0.0805073949253731</v>
      </c>
      <c r="F23" s="43"/>
      <c r="G23" s="41">
        <v>1883.69823</v>
      </c>
      <c r="H23" s="42">
        <f>($F$21-G23)/$F$21</f>
        <v>0.0596288925998918</v>
      </c>
      <c r="I23" s="43">
        <v>798.838231</v>
      </c>
      <c r="J23" s="41">
        <v>742.601998</v>
      </c>
      <c r="K23" s="42">
        <f t="shared" si="8"/>
        <v>0.0703975233253452</v>
      </c>
      <c r="L23" s="86"/>
      <c r="M23" s="90" t="s">
        <v>21</v>
      </c>
      <c r="N23" s="88">
        <v>131.029441</v>
      </c>
      <c r="O23" s="41">
        <v>121.805293</v>
      </c>
      <c r="P23" s="42">
        <f t="shared" si="6"/>
        <v>0.0703975223400364</v>
      </c>
    </row>
    <row r="24" spans="1:16">
      <c r="A24" s="21" t="s">
        <v>18</v>
      </c>
      <c r="B24" s="22" t="s">
        <v>15</v>
      </c>
      <c r="C24" s="23"/>
      <c r="D24" s="44">
        <v>2305.625833</v>
      </c>
      <c r="E24" s="45">
        <f t="shared" si="7"/>
        <v>0.311753482686567</v>
      </c>
      <c r="F24" s="46">
        <v>2011.675804</v>
      </c>
      <c r="G24" s="44">
        <v>1560.772589</v>
      </c>
      <c r="H24" s="45">
        <f>($F$24-G24)/$F$21</f>
        <v>0.225097814961486</v>
      </c>
      <c r="I24" s="46">
        <v>418.456661</v>
      </c>
      <c r="J24" s="44">
        <v>290.853244</v>
      </c>
      <c r="K24" s="45">
        <f t="shared" si="8"/>
        <v>0.304938190480854</v>
      </c>
      <c r="L24" s="86"/>
      <c r="M24" s="91">
        <f t="shared" si="9"/>
        <v>0.126149369007352</v>
      </c>
      <c r="N24" s="92">
        <v>68.637354</v>
      </c>
      <c r="O24" s="93">
        <v>47.707203</v>
      </c>
      <c r="P24" s="45">
        <f t="shared" si="6"/>
        <v>0.304938197355335</v>
      </c>
    </row>
    <row r="25" spans="1:16">
      <c r="A25" s="21"/>
      <c r="B25" s="22" t="s">
        <v>16</v>
      </c>
      <c r="C25" s="23"/>
      <c r="D25" s="44">
        <v>2613.419412</v>
      </c>
      <c r="E25" s="45">
        <f t="shared" si="7"/>
        <v>0.21987480238806</v>
      </c>
      <c r="F25" s="46"/>
      <c r="G25" s="44">
        <v>1689.618572</v>
      </c>
      <c r="H25" s="45">
        <f>($F$24-G25)/$F$21</f>
        <v>0.160775919984834</v>
      </c>
      <c r="I25" s="46">
        <v>594.652474</v>
      </c>
      <c r="J25" s="94">
        <v>469.800839</v>
      </c>
      <c r="K25" s="45">
        <f t="shared" si="8"/>
        <v>0.209957311974456</v>
      </c>
      <c r="L25" s="86"/>
      <c r="M25" s="91">
        <f t="shared" si="9"/>
        <v>0.179764808068243</v>
      </c>
      <c r="N25" s="92">
        <v>97.537872</v>
      </c>
      <c r="O25" s="93">
        <v>77.059083</v>
      </c>
      <c r="P25" s="45">
        <f t="shared" si="6"/>
        <v>0.209957307659941</v>
      </c>
    </row>
    <row r="26" spans="1:16">
      <c r="A26" s="26"/>
      <c r="B26" s="27" t="s">
        <v>17</v>
      </c>
      <c r="C26" s="28"/>
      <c r="D26" s="47">
        <v>3007.956127</v>
      </c>
      <c r="E26" s="48">
        <f t="shared" si="7"/>
        <v>0.102102648656716</v>
      </c>
      <c r="F26" s="49"/>
      <c r="G26" s="47">
        <v>1859.656939</v>
      </c>
      <c r="H26" s="48">
        <f>($F$24-G26)/$F$21</f>
        <v>0.0758901538203163</v>
      </c>
      <c r="I26" s="49">
        <v>770.848286</v>
      </c>
      <c r="J26" s="47">
        <v>694.299189</v>
      </c>
      <c r="K26" s="48">
        <f t="shared" si="8"/>
        <v>0.0993050103246906</v>
      </c>
      <c r="L26" s="95"/>
      <c r="M26" s="96" t="s">
        <v>21</v>
      </c>
      <c r="N26" s="97">
        <v>126.43839</v>
      </c>
      <c r="O26" s="47">
        <v>113.882424</v>
      </c>
      <c r="P26" s="48">
        <f t="shared" si="6"/>
        <v>0.0993050132954081</v>
      </c>
    </row>
  </sheetData>
  <mergeCells count="30">
    <mergeCell ref="A1:B1"/>
    <mergeCell ref="C1:E1"/>
    <mergeCell ref="F1:H1"/>
    <mergeCell ref="I1:K1"/>
    <mergeCell ref="N1:P1"/>
    <mergeCell ref="A10:B10"/>
    <mergeCell ref="C10:E10"/>
    <mergeCell ref="F10:H10"/>
    <mergeCell ref="I10:K10"/>
    <mergeCell ref="N10:P10"/>
    <mergeCell ref="A19:B19"/>
    <mergeCell ref="C19:E19"/>
    <mergeCell ref="F19:H19"/>
    <mergeCell ref="I19:K19"/>
    <mergeCell ref="N19:P19"/>
    <mergeCell ref="A3:A5"/>
    <mergeCell ref="A6:A8"/>
    <mergeCell ref="A12:A14"/>
    <mergeCell ref="A15:A17"/>
    <mergeCell ref="A21:A23"/>
    <mergeCell ref="A24:A26"/>
    <mergeCell ref="L1:L2"/>
    <mergeCell ref="L3:L8"/>
    <mergeCell ref="L10:L11"/>
    <mergeCell ref="L12:L17"/>
    <mergeCell ref="L19:L20"/>
    <mergeCell ref="L21:L26"/>
    <mergeCell ref="M1:M2"/>
    <mergeCell ref="M10:M11"/>
    <mergeCell ref="M19:M20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CB9ACDF485AD4BA8BEC45605E866A220_12</vt:lpwstr>
  </property>
  <property fmtid="{D5CDD505-2E9C-101B-9397-08002B2CF9AE}" pid="3" name="KSOProductBuildVer">
    <vt:lpwstr>1033-12.2.0.23155</vt:lpwstr>
  </property>
</Properties>
</file>