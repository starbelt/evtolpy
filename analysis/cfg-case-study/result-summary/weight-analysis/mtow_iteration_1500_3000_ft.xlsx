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colors3.xml" ContentType="application/vnd.ms-office.chartcolorstyle+xml"/>
  <Override PartName="/xl/charts/style1.xml" ContentType="application/vnd.ms-office.chartstyle+xml"/>
  <Override PartName="/xl/charts/style2.xml" ContentType="application/vnd.ms-office.chartstyle+xml"/>
  <Override PartName="/xl/charts/style3.xml" ContentType="application/vnd.ms-office.chartstyle+xml"/>
  <Override PartName="/xl/drawings/drawing1.xml" ContentType="application/vnd.openxmlformats-officedocument.drawing+xml"/>
  <Override PartName="/xl/drawings/drawing2.xml" ContentType="application/vnd.openxmlformats-officedocument.drawingml.chartshap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8280"/>
  </bookViews>
  <sheets>
    <sheet name="All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<sst xmlns="http://schemas.openxmlformats.org/spreadsheetml/2006/main" count="89" uniqueCount="22">
  <si>
    <t>Archer Midnight</t>
  </si>
  <si>
    <t>MTOW</t>
  </si>
  <si>
    <t>Empty Weight</t>
  </si>
  <si>
    <t>Battery Weight</t>
  </si>
  <si>
    <t>Payload
(kg)</t>
  </si>
  <si>
    <t>Battery Weight Fraction</t>
  </si>
  <si>
    <t>Total Mission Energy</t>
  </si>
  <si>
    <t>Altitude</t>
  </si>
  <si>
    <t>Mission Range</t>
  </si>
  <si>
    <t>Initial Guess
(kg)</t>
  </si>
  <si>
    <t>Final
(kg)</t>
  </si>
  <si>
    <t>% Difference</t>
  </si>
  <si>
    <t>Without Resizing
(kWh)</t>
  </si>
  <si>
    <t>With
Resizing
(kWh)</t>
  </si>
  <si>
    <t>1500 ft</t>
  </si>
  <si>
    <t>30 mi</t>
  </si>
  <si>
    <t>45 mi</t>
  </si>
  <si>
    <t>60 mi</t>
  </si>
  <si>
    <t>3000 ft</t>
  </si>
  <si>
    <t>Joby S4</t>
  </si>
  <si>
    <t>Supernal S-A2</t>
  </si>
  <si>
    <t>N/A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</si>
</sst>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0.0_ "/>
    <numFmt numFmtId="179" formatCode="0.0%"/>
    <numFmt numFmtId="180" formatCode="0.00_ "/>
  </numFmts>
  <fonts count="22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8" tint="0.8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3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6" borderId="15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16" applyNumberFormat="0" applyFill="0" applyAlignment="0" applyProtection="0">
      <alignment vertical="center"/>
    </xf>
    <xf numFmtId="0" fontId="9" fillId="0" borderId="16" applyNumberFormat="0" applyFill="0" applyAlignment="0" applyProtection="0">
      <alignment vertical="center"/>
    </xf>
    <xf numFmtId="0" fontId="10" fillId="0" borderId="17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7" borderId="18" applyNumberFormat="0" applyAlignment="0" applyProtection="0">
      <alignment vertical="center"/>
    </xf>
    <xf numFmtId="0" fontId="12" fillId="8" borderId="19" applyNumberFormat="0" applyAlignment="0" applyProtection="0">
      <alignment vertical="center"/>
    </xf>
    <xf numFmtId="0" fontId="13" fillId="8" borderId="18" applyNumberFormat="0" applyAlignment="0" applyProtection="0">
      <alignment vertical="center"/>
    </xf>
    <xf numFmtId="0" fontId="14" fillId="9" borderId="20" applyNumberFormat="0" applyAlignment="0" applyProtection="0">
      <alignment vertical="center"/>
    </xf>
    <xf numFmtId="0" fontId="15" fillId="0" borderId="21" applyNumberFormat="0" applyFill="0" applyAlignment="0" applyProtection="0">
      <alignment vertical="center"/>
    </xf>
    <xf numFmtId="0" fontId="16" fillId="0" borderId="22" applyNumberFormat="0" applyFill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</cellStyleXfs>
  <cellXfs count="99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0" xfId="0" applyFont="1" applyFill="1" applyBorder="1" applyAlignment="1">
      <alignment horizontal="center" vertical="center" wrapText="1"/>
    </xf>
    <xf numFmtId="0" fontId="0" fillId="3" borderId="6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178" fontId="0" fillId="3" borderId="6" xfId="0" applyNumberFormat="1" applyFill="1" applyBorder="1" applyAlignment="1">
      <alignment horizontal="center" vertical="center"/>
    </xf>
    <xf numFmtId="178" fontId="0" fillId="3" borderId="8" xfId="0" applyNumberFormat="1" applyFill="1" applyBorder="1" applyAlignment="1">
      <alignment horizontal="center" vertical="center"/>
    </xf>
    <xf numFmtId="179" fontId="0" fillId="3" borderId="7" xfId="3" applyNumberFormat="1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178" fontId="0" fillId="3" borderId="4" xfId="0" applyNumberFormat="1" applyFill="1" applyBorder="1" applyAlignment="1">
      <alignment horizontal="center" vertical="center"/>
    </xf>
    <xf numFmtId="178" fontId="0" fillId="3" borderId="0" xfId="0" applyNumberFormat="1" applyFill="1" applyBorder="1" applyAlignment="1">
      <alignment horizontal="center" vertical="center"/>
    </xf>
    <xf numFmtId="179" fontId="0" fillId="3" borderId="5" xfId="3" applyNumberForma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78" fontId="0" fillId="0" borderId="4" xfId="0" applyNumberFormat="1" applyBorder="1" applyAlignment="1">
      <alignment horizontal="center" vertical="center"/>
    </xf>
    <xf numFmtId="178" fontId="0" fillId="0" borderId="0" xfId="0" applyNumberFormat="1" applyBorder="1" applyAlignment="1">
      <alignment horizontal="center" vertical="center"/>
    </xf>
    <xf numFmtId="179" fontId="0" fillId="0" borderId="5" xfId="3" applyNumberForma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178" fontId="0" fillId="0" borderId="9" xfId="0" applyNumberFormat="1" applyBorder="1" applyAlignment="1">
      <alignment horizontal="center" vertical="center"/>
    </xf>
    <xf numFmtId="178" fontId="0" fillId="0" borderId="11" xfId="0" applyNumberFormat="1" applyBorder="1" applyAlignment="1">
      <alignment horizontal="center" vertical="center"/>
    </xf>
    <xf numFmtId="179" fontId="0" fillId="0" borderId="10" xfId="3" applyNumberFormat="1" applyBorder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8" fontId="0" fillId="0" borderId="3" xfId="0" applyNumberFormat="1" applyBorder="1" applyAlignment="1">
      <alignment horizontal="center" vertical="center"/>
    </xf>
    <xf numFmtId="178" fontId="0" fillId="0" borderId="2" xfId="0" applyNumberFormat="1" applyBorder="1" applyAlignment="1">
      <alignment horizontal="center" vertical="center"/>
    </xf>
    <xf numFmtId="178" fontId="0" fillId="0" borderId="4" xfId="0" applyNumberFormat="1" applyBorder="1" applyAlignment="1">
      <alignment horizontal="center" vertical="center" wrapText="1"/>
    </xf>
    <xf numFmtId="178" fontId="0" fillId="0" borderId="0" xfId="0" applyNumberFormat="1" applyFont="1" applyFill="1" applyBorder="1" applyAlignment="1">
      <alignment horizontal="center" vertical="center" wrapText="1"/>
    </xf>
    <xf numFmtId="178" fontId="0" fillId="0" borderId="5" xfId="0" applyNumberFormat="1" applyBorder="1" applyAlignment="1">
      <alignment horizontal="center" vertical="center" wrapText="1"/>
    </xf>
    <xf numFmtId="178" fontId="2" fillId="3" borderId="8" xfId="0" applyNumberFormat="1" applyFont="1" applyFill="1" applyBorder="1" applyAlignment="1">
      <alignment horizontal="center" vertical="center"/>
    </xf>
    <xf numFmtId="179" fontId="2" fillId="3" borderId="7" xfId="3" applyNumberFormat="1" applyFont="1" applyFill="1" applyBorder="1" applyAlignment="1">
      <alignment horizontal="center" vertical="center"/>
    </xf>
    <xf numFmtId="178" fontId="2" fillId="3" borderId="6" xfId="0" applyNumberFormat="1" applyFont="1" applyFill="1" applyBorder="1" applyAlignment="1">
      <alignment horizontal="center" vertical="center"/>
    </xf>
    <xf numFmtId="178" fontId="2" fillId="3" borderId="0" xfId="0" applyNumberFormat="1" applyFont="1" applyFill="1" applyBorder="1" applyAlignment="1">
      <alignment horizontal="center" vertical="center"/>
    </xf>
    <xf numFmtId="179" fontId="2" fillId="3" borderId="5" xfId="3" applyNumberFormat="1" applyFont="1" applyFill="1" applyBorder="1" applyAlignment="1">
      <alignment horizontal="center" vertical="center"/>
    </xf>
    <xf numFmtId="178" fontId="2" fillId="3" borderId="4" xfId="0" applyNumberFormat="1" applyFont="1" applyFill="1" applyBorder="1" applyAlignment="1">
      <alignment horizontal="center" vertical="center"/>
    </xf>
    <xf numFmtId="178" fontId="2" fillId="3" borderId="0" xfId="0" applyNumberFormat="1" applyFont="1" applyFill="1" applyBorder="1" applyAlignment="1">
      <alignment horizontal="center" vertical="center"/>
    </xf>
    <xf numFmtId="178" fontId="2" fillId="0" borderId="0" xfId="0" applyNumberFormat="1" applyFont="1" applyBorder="1" applyAlignment="1">
      <alignment horizontal="center" vertical="center"/>
    </xf>
    <xf numFmtId="179" fontId="2" fillId="0" borderId="5" xfId="3" applyNumberFormat="1" applyFont="1" applyBorder="1" applyAlignment="1">
      <alignment horizontal="center" vertical="center"/>
    </xf>
    <xf numFmtId="178" fontId="2" fillId="0" borderId="4" xfId="0" applyNumberFormat="1" applyFont="1" applyBorder="1" applyAlignment="1">
      <alignment horizontal="center" vertical="center"/>
    </xf>
    <xf numFmtId="178" fontId="2" fillId="0" borderId="11" xfId="0" applyNumberFormat="1" applyFont="1" applyBorder="1" applyAlignment="1">
      <alignment horizontal="center" vertical="center"/>
    </xf>
    <xf numFmtId="179" fontId="2" fillId="0" borderId="10" xfId="3" applyNumberFormat="1" applyFont="1" applyBorder="1" applyAlignment="1">
      <alignment horizontal="center" vertical="center"/>
    </xf>
    <xf numFmtId="178" fontId="2" fillId="0" borderId="9" xfId="0" applyNumberFormat="1" applyFont="1" applyBorder="1" applyAlignment="1">
      <alignment horizontal="center" vertical="center"/>
    </xf>
    <xf numFmtId="0" fontId="0" fillId="0" borderId="7" xfId="0" applyBorder="1" applyAlignment="1">
      <alignment horizontal="center" vertical="center" wrapText="1"/>
    </xf>
    <xf numFmtId="0" fontId="0" fillId="4" borderId="6" xfId="0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/>
    </xf>
    <xf numFmtId="0" fontId="0" fillId="5" borderId="3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 wrapText="1"/>
    </xf>
    <xf numFmtId="0" fontId="0" fillId="5" borderId="11" xfId="0" applyFill="1" applyBorder="1" applyAlignment="1">
      <alignment horizontal="center" vertical="center" wrapText="1"/>
    </xf>
    <xf numFmtId="0" fontId="0" fillId="5" borderId="10" xfId="0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9" fontId="0" fillId="3" borderId="6" xfId="3" applyFill="1" applyBorder="1" applyAlignment="1">
      <alignment horizontal="center" vertical="center"/>
    </xf>
    <xf numFmtId="180" fontId="0" fillId="3" borderId="6" xfId="0" applyNumberFormat="1" applyFill="1" applyBorder="1" applyAlignment="1">
      <alignment horizontal="center" vertical="center"/>
    </xf>
    <xf numFmtId="180" fontId="0" fillId="3" borderId="8" xfId="0" applyNumberFormat="1" applyFill="1" applyBorder="1" applyAlignment="1">
      <alignment horizontal="center" vertical="center"/>
    </xf>
    <xf numFmtId="9" fontId="0" fillId="3" borderId="4" xfId="3" applyFill="1" applyBorder="1" applyAlignment="1">
      <alignment horizontal="center" vertical="center"/>
    </xf>
    <xf numFmtId="180" fontId="0" fillId="3" borderId="4" xfId="0" applyNumberFormat="1" applyFill="1" applyBorder="1" applyAlignment="1">
      <alignment horizontal="center" vertical="center"/>
    </xf>
    <xf numFmtId="180" fontId="0" fillId="3" borderId="0" xfId="0" applyNumberFormat="1" applyFill="1" applyBorder="1" applyAlignment="1">
      <alignment horizontal="center" vertical="center"/>
    </xf>
    <xf numFmtId="9" fontId="0" fillId="0" borderId="4" xfId="3" applyFill="1" applyBorder="1" applyAlignment="1">
      <alignment horizontal="center" vertical="center"/>
    </xf>
    <xf numFmtId="180" fontId="0" fillId="0" borderId="4" xfId="0" applyNumberFormat="1" applyBorder="1" applyAlignment="1">
      <alignment horizontal="center" vertical="center"/>
    </xf>
    <xf numFmtId="180" fontId="0" fillId="0" borderId="0" xfId="0" applyNumberFormat="1" applyBorder="1" applyAlignment="1">
      <alignment horizontal="center" vertical="center"/>
    </xf>
    <xf numFmtId="9" fontId="0" fillId="0" borderId="9" xfId="3" applyFill="1" applyBorder="1" applyAlignment="1">
      <alignment horizontal="center" vertical="center"/>
    </xf>
    <xf numFmtId="180" fontId="0" fillId="0" borderId="9" xfId="0" applyNumberFormat="1" applyBorder="1" applyAlignment="1">
      <alignment horizontal="center" vertical="center"/>
    </xf>
    <xf numFmtId="180" fontId="0" fillId="0" borderId="11" xfId="0" applyNumberFormat="1" applyBorder="1" applyAlignment="1">
      <alignment horizontal="center" vertical="center"/>
    </xf>
    <xf numFmtId="180" fontId="0" fillId="0" borderId="0" xfId="0" applyNumberFormat="1" applyAlignment="1">
      <alignment horizontal="center" vertical="center"/>
    </xf>
    <xf numFmtId="0" fontId="0" fillId="4" borderId="12" xfId="0" applyFill="1" applyBorder="1" applyAlignment="1">
      <alignment horizontal="center" vertical="center" wrapText="1"/>
    </xf>
    <xf numFmtId="0" fontId="0" fillId="4" borderId="13" xfId="0" applyFill="1" applyBorder="1" applyAlignment="1">
      <alignment horizontal="center" vertical="center" wrapText="1"/>
    </xf>
    <xf numFmtId="9" fontId="0" fillId="3" borderId="12" xfId="3" applyFill="1" applyBorder="1" applyAlignment="1">
      <alignment horizontal="center" vertical="center"/>
    </xf>
    <xf numFmtId="9" fontId="0" fillId="3" borderId="14" xfId="3" applyFill="1" applyBorder="1" applyAlignment="1">
      <alignment horizontal="center" vertical="center"/>
    </xf>
    <xf numFmtId="9" fontId="0" fillId="0" borderId="14" xfId="3" applyFill="1" applyBorder="1" applyAlignment="1">
      <alignment horizontal="center" vertical="center"/>
    </xf>
    <xf numFmtId="9" fontId="0" fillId="0" borderId="13" xfId="3" applyFill="1" applyBorder="1" applyAlignment="1">
      <alignment horizontal="center" vertical="center"/>
    </xf>
    <xf numFmtId="178" fontId="0" fillId="0" borderId="6" xfId="0" applyNumberFormat="1" applyBorder="1" applyAlignment="1">
      <alignment horizontal="center" vertical="center" wrapText="1"/>
    </xf>
    <xf numFmtId="178" fontId="0" fillId="0" borderId="8" xfId="0" applyNumberFormat="1" applyFont="1" applyFill="1" applyBorder="1" applyAlignment="1">
      <alignment horizontal="center" vertical="center" wrapText="1"/>
    </xf>
    <xf numFmtId="178" fontId="0" fillId="0" borderId="7" xfId="0" applyNumberForma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/>
    </xf>
    <xf numFmtId="9" fontId="2" fillId="3" borderId="12" xfId="3" applyFont="1" applyFill="1" applyBorder="1" applyAlignment="1">
      <alignment horizontal="center" vertical="center"/>
    </xf>
    <xf numFmtId="180" fontId="2" fillId="3" borderId="6" xfId="0" applyNumberFormat="1" applyFont="1" applyFill="1" applyBorder="1" applyAlignment="1">
      <alignment horizontal="center" vertical="center"/>
    </xf>
    <xf numFmtId="180" fontId="2" fillId="3" borderId="8" xfId="0" applyNumberFormat="1" applyFont="1" applyFill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9" fontId="2" fillId="3" borderId="14" xfId="3" applyFont="1" applyFill="1" applyBorder="1" applyAlignment="1">
      <alignment horizontal="center" vertical="center"/>
    </xf>
    <xf numFmtId="180" fontId="2" fillId="3" borderId="4" xfId="0" applyNumberFormat="1" applyFont="1" applyFill="1" applyBorder="1" applyAlignment="1">
      <alignment horizontal="center" vertical="center"/>
    </xf>
    <xf numFmtId="180" fontId="2" fillId="3" borderId="0" xfId="0" applyNumberFormat="1" applyFont="1" applyFill="1" applyBorder="1" applyAlignment="1">
      <alignment horizontal="center" vertical="center"/>
    </xf>
    <xf numFmtId="178" fontId="2" fillId="3" borderId="5" xfId="0" applyNumberFormat="1" applyFont="1" applyFill="1" applyBorder="1" applyAlignment="1">
      <alignment horizontal="center" vertical="center"/>
    </xf>
    <xf numFmtId="9" fontId="2" fillId="0" borderId="14" xfId="3" applyFont="1" applyFill="1" applyBorder="1" applyAlignment="1">
      <alignment horizontal="center" vertical="center"/>
    </xf>
    <xf numFmtId="180" fontId="2" fillId="0" borderId="4" xfId="0" applyNumberFormat="1" applyFont="1" applyBorder="1" applyAlignment="1">
      <alignment horizontal="center" vertical="center"/>
    </xf>
    <xf numFmtId="180" fontId="2" fillId="0" borderId="0" xfId="0" applyNumberFormat="1" applyFont="1" applyBorder="1" applyAlignment="1">
      <alignment horizontal="center" vertical="center"/>
    </xf>
    <xf numFmtId="178" fontId="2" fillId="0" borderId="0" xfId="0" applyNumberFormat="1" applyFont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178" fontId="2" fillId="0" borderId="10" xfId="0" applyNumberFormat="1" applyFont="1" applyBorder="1" applyAlignment="1">
      <alignment horizontal="center" vertical="center"/>
    </xf>
    <xf numFmtId="180" fontId="2" fillId="0" borderId="9" xfId="0" applyNumberFormat="1" applyFont="1" applyBorder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microsoft.com/office/2011/relationships/chartColorStyle" Target="colors2.xml"/><Relationship Id="rId2" Type="http://schemas.microsoft.com/office/2011/relationships/chartStyle" Target="style2.xml"/><Relationship Id="rId1" Type="http://schemas.openxmlformats.org/officeDocument/2006/relationships/chartUserShapes" Target="../drawings/drawing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Converged MTOW vs. Mission Range: </a:t>
            </a:r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Archer Midnight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"1500 ft"</c:f>
              <c:strCache>
                <c:ptCount val="1"/>
                <c:pt idx="0">
                  <c:v>1500 ft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All!$B$3:$B$5</c:f>
              <c:strCache>
                <c:ptCount val="3"/>
                <c:pt idx="0">
                  <c:v>30 mi</c:v>
                </c:pt>
                <c:pt idx="1">
                  <c:v>45 mi</c:v>
                </c:pt>
                <c:pt idx="2">
                  <c:v>60 mi</c:v>
                </c:pt>
              </c:strCache>
            </c:strRef>
          </c:cat>
          <c:val>
            <c:numRef>
              <c:f>All!$D$3:$D$5</c:f>
              <c:numCache>
                <c:formatCode>0.0_ </c:formatCode>
                <c:ptCount val="3"/>
                <c:pt idx="0">
                  <c:v>1974.906583</c:v>
                </c:pt>
                <c:pt idx="1">
                  <c:v>2207.300397</c:v>
                </c:pt>
                <c:pt idx="2">
                  <c:v>2475.500809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"3000 ft"</c:f>
              <c:strCache>
                <c:ptCount val="1"/>
                <c:pt idx="0">
                  <c:v>3000 ft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All!$B$3:$B$5</c:f>
              <c:strCache>
                <c:ptCount val="3"/>
                <c:pt idx="0">
                  <c:v>30 mi</c:v>
                </c:pt>
                <c:pt idx="1">
                  <c:v>45 mi</c:v>
                </c:pt>
                <c:pt idx="2">
                  <c:v>60 mi</c:v>
                </c:pt>
              </c:strCache>
            </c:strRef>
          </c:cat>
          <c:val>
            <c:numRef>
              <c:f>All!$D$6:$D$8</c:f>
              <c:numCache>
                <c:formatCode>0.0_ </c:formatCode>
                <c:ptCount val="3"/>
                <c:pt idx="0">
                  <c:v>1908.813202</c:v>
                </c:pt>
                <c:pt idx="1">
                  <c:v>2132.428989</c:v>
                </c:pt>
                <c:pt idx="2">
                  <c:v>2391.011895</c:v>
                </c:pt>
              </c:numCache>
            </c:numRef>
          </c:val>
          <c:smooth val="0"/>
        </c:ser>
        <c:ser>
          <c:idx val="2"/>
          <c:order val="2"/>
          <c:spPr>
            <a:ln w="19050" cap="rnd">
              <a:solidFill>
                <a:srgbClr val="FF0000"/>
              </a:solidFill>
              <a:prstDash val="dash"/>
              <a:round/>
            </a:ln>
            <a:effectLst/>
            <a:sp3d contourW="19050"/>
          </c:spPr>
          <c:marker>
            <c:symbol val="none"/>
          </c:marker>
          <c:dLbls>
            <c:dLbl>
              <c:idx val="0"/>
              <c:delete val="1"/>
            </c:dLbl>
            <c:dLbl>
              <c:idx val="1"/>
              <c:layout/>
              <c:tx>
                <c:rich>
                  <a:bodyPr rot="0" spcFirstLastPara="0" vertOverflow="ellipsis" vert="horz" wrap="square" lIns="38100" tIns="19050" rIns="38100" bIns="19050" anchor="ctr" anchorCtr="1"/>
                  <a:lstStyle/>
                  <a:p>
                    <a:pPr defTabSz="914400">
                      <a:defRPr lang="en-US" sz="10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>
                        <a:solidFill>
                          <a:srgbClr val="FF0000"/>
                        </a:solidFill>
                      </a:rPr>
                      <a:t>3175.0</a:t>
                    </a:r>
                    <a:endParaRPr>
                      <a:solidFill>
                        <a:srgbClr val="FF0000"/>
                      </a:solidFill>
                    </a:endParaRPr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</c:extLst>
            </c:dLbl>
            <c:dLbl>
              <c:idx val="2"/>
              <c:layout>
                <c:manualLayout>
                  <c:x val="0.0431547461107277"/>
                  <c:y val="0.00042264443048715"/>
                </c:manualLayout>
              </c:layout>
              <c:tx>
                <c:rich>
                  <a:bodyPr rot="0" spcFirstLastPara="0" vertOverflow="ellipsis" vert="horz" wrap="square" lIns="38100" tIns="19050" rIns="38100" bIns="19050" anchor="ctr" anchorCtr="1"/>
                  <a:lstStyle/>
                  <a:p>
                    <a:pPr defTabSz="914400">
                      <a:defRPr lang="en-US" sz="10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>
                        <a:solidFill>
                          <a:srgbClr val="FF0000"/>
                        </a:solidFill>
                      </a:rPr>
                      <a:t>Initial Guess MTOW</a:t>
                    </a:r>
                    <a:endParaRPr>
                      <a:solidFill>
                        <a:srgbClr val="FF0000"/>
                      </a:solidFill>
                    </a:endParaRPr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All!$B$3:$B$5</c:f>
              <c:strCache>
                <c:ptCount val="3"/>
                <c:pt idx="0">
                  <c:v>30 mi</c:v>
                </c:pt>
                <c:pt idx="1">
                  <c:v>45 mi</c:v>
                </c:pt>
                <c:pt idx="2">
                  <c:v>60 mi</c:v>
                </c:pt>
              </c:strCache>
            </c:strRef>
          </c:cat>
          <c:val>
            <c:numRef>
              <c:f>All!$C$3:$C$5</c:f>
              <c:numCache>
                <c:formatCode>0.0_ </c:formatCode>
                <c:ptCount val="3"/>
                <c:pt idx="0">
                  <c:v>3175</c:v>
                </c:pt>
                <c:pt idx="1">
                  <c:v>3175</c:v>
                </c:pt>
                <c:pt idx="2">
                  <c:v>3175</c:v>
                </c:pt>
              </c:numCache>
            </c:numRef>
          </c:val>
          <c:smooth val="0"/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0"/>
        <c:smooth val="0"/>
        <c:axId val="757224400"/>
        <c:axId val="766602742"/>
      </c:lineChart>
      <c:catAx>
        <c:axId val="757224400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200"/>
                  <a:t>Mission Range</a:t>
                </a:r>
                <a:endParaRPr sz="1200"/>
              </a:p>
            </c:rich>
          </c:tx>
          <c:layout>
            <c:manualLayout>
              <c:xMode val="edge"/>
              <c:yMode val="edge"/>
              <c:x val="0.426144140290847"/>
              <c:y val="0.818123667377399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66602742"/>
        <c:crosses val="autoZero"/>
        <c:auto val="1"/>
        <c:lblAlgn val="ctr"/>
        <c:lblOffset val="100"/>
        <c:noMultiLvlLbl val="0"/>
      </c:catAx>
      <c:valAx>
        <c:axId val="76660274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200"/>
                  <a:t>Converged MTOW (kg)</a:t>
                </a:r>
                <a:endParaRPr sz="1200"/>
              </a:p>
            </c:rich>
          </c:tx>
          <c:layout>
            <c:manualLayout>
              <c:xMode val="edge"/>
              <c:yMode val="edge"/>
              <c:x val="0.0145423438836612"/>
              <c:y val="0.247585682150156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572244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2"/>
        <c:delete val="1"/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eb44b227-a188-472c-8a21-ec7b862a5211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Converged MTOW vs. Mission Range: </a:t>
            </a:r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Joby S4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"1500 ft"</c:f>
              <c:strCache>
                <c:ptCount val="1"/>
                <c:pt idx="0">
                  <c:v>1500 ft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0347826086956522"/>
                  <c:y val="0.0215373189751207"/>
                </c:manualLayout>
              </c:layout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All!$B$3:$B$5</c:f>
              <c:strCache>
                <c:ptCount val="3"/>
                <c:pt idx="0">
                  <c:v>30 mi</c:v>
                </c:pt>
                <c:pt idx="1">
                  <c:v>45 mi</c:v>
                </c:pt>
                <c:pt idx="2">
                  <c:v>60 mi</c:v>
                </c:pt>
              </c:strCache>
            </c:strRef>
          </c:cat>
          <c:val>
            <c:numRef>
              <c:f>All!$D$12:$D$14</c:f>
              <c:numCache>
                <c:formatCode>0.0_ </c:formatCode>
                <c:ptCount val="3"/>
                <c:pt idx="0">
                  <c:v>2129.398504</c:v>
                </c:pt>
                <c:pt idx="1">
                  <c:v>2401.411534</c:v>
                </c:pt>
                <c:pt idx="2">
                  <c:v>2834.127149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"3000 ft"</c:f>
              <c:strCache>
                <c:ptCount val="1"/>
                <c:pt idx="0">
                  <c:v>3000 ft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2"/>
              <c:layout>
                <c:manualLayout>
                  <c:x val="0.0279562982005141"/>
                  <c:y val="-0.00962250185048113"/>
                </c:manualLayout>
              </c:layout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All!$B$3:$B$5</c:f>
              <c:strCache>
                <c:ptCount val="3"/>
                <c:pt idx="0">
                  <c:v>30 mi</c:v>
                </c:pt>
                <c:pt idx="1">
                  <c:v>45 mi</c:v>
                </c:pt>
                <c:pt idx="2">
                  <c:v>60 mi</c:v>
                </c:pt>
              </c:strCache>
            </c:strRef>
          </c:cat>
          <c:val>
            <c:numRef>
              <c:f>All!$D$15:$D$17</c:f>
              <c:numCache>
                <c:formatCode>0.0_ </c:formatCode>
                <c:ptCount val="3"/>
                <c:pt idx="0">
                  <c:v>2125.661143</c:v>
                </c:pt>
                <c:pt idx="1">
                  <c:v>2420.403092</c:v>
                </c:pt>
                <c:pt idx="2">
                  <c:v>2958.038041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"="</c:f>
              <c:strCache>
                <c:ptCount val="1"/>
                <c:pt idx="0">
                  <c:v>=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dash"/>
              <a:round/>
            </a:ln>
            <a:effectLst/>
            <a:sp3d contourW="19050"/>
          </c:spPr>
          <c:marker>
            <c:symbol val="none"/>
          </c:marker>
          <c:dLbls>
            <c:dLbl>
              <c:idx val="0"/>
              <c:delete val="1"/>
            </c:dLbl>
            <c:dLbl>
              <c:idx val="1"/>
              <c:delete val="1"/>
            </c:dLbl>
            <c:dLbl>
              <c:idx val="2"/>
              <c:layout>
                <c:manualLayout>
                  <c:x val="0"/>
                  <c:y val="0.0114729829755736"/>
                </c:manualLayout>
              </c:layout>
              <c:tx>
                <c:rich>
                  <a:bodyPr rot="0" spcFirstLastPara="0" vertOverflow="ellipsis" vert="horz" wrap="square" lIns="38100" tIns="19050" rIns="38100" bIns="19050" anchor="ctr" anchorCtr="1"/>
                  <a:lstStyle/>
                  <a:p>
                    <a:pPr defTabSz="914400">
                      <a:defRPr lang="en-US" sz="10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>
                        <a:solidFill>
                          <a:srgbClr val="FF0000"/>
                        </a:solidFill>
                      </a:rPr>
                      <a:t>2404.0</a:t>
                    </a:r>
                    <a:endParaRPr>
                      <a:solidFill>
                        <a:srgbClr val="FF0000"/>
                      </a:solidFill>
                    </a:endParaRPr>
                  </a:p>
                </c:rich>
              </c:tx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All!$B$3:$B$5</c:f>
              <c:strCache>
                <c:ptCount val="3"/>
                <c:pt idx="0">
                  <c:v>30 mi</c:v>
                </c:pt>
                <c:pt idx="1">
                  <c:v>45 mi</c:v>
                </c:pt>
                <c:pt idx="2">
                  <c:v>60 mi</c:v>
                </c:pt>
              </c:strCache>
            </c:strRef>
          </c:cat>
          <c:val>
            <c:numRef>
              <c:f>All!$C$12:$C$14</c:f>
              <c:numCache>
                <c:formatCode>0.0_ </c:formatCode>
                <c:ptCount val="3"/>
                <c:pt idx="0">
                  <c:v>2404</c:v>
                </c:pt>
                <c:pt idx="1">
                  <c:v>2404</c:v>
                </c:pt>
                <c:pt idx="2">
                  <c:v>2404</c:v>
                </c:pt>
              </c:numCache>
            </c:numRef>
          </c:val>
          <c:smooth val="0"/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0"/>
        <c:smooth val="0"/>
        <c:axId val="757224400"/>
        <c:axId val="766602742"/>
      </c:lineChart>
      <c:catAx>
        <c:axId val="757224400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200"/>
                  <a:t>Mission Range</a:t>
                </a:r>
                <a:endParaRPr sz="1200"/>
              </a:p>
            </c:rich>
          </c:tx>
          <c:layout>
            <c:manualLayout>
              <c:xMode val="edge"/>
              <c:yMode val="edge"/>
              <c:x val="0.426144140290847"/>
              <c:y val="0.818123667377399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66602742"/>
        <c:crosses val="autoZero"/>
        <c:auto val="1"/>
        <c:lblAlgn val="ctr"/>
        <c:lblOffset val="100"/>
        <c:noMultiLvlLbl val="0"/>
      </c:catAx>
      <c:valAx>
        <c:axId val="76660274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200"/>
                  <a:t>Converged MTOW (kg)</a:t>
                </a:r>
                <a:endParaRPr sz="1200"/>
              </a:p>
            </c:rich>
          </c:tx>
          <c:layout>
            <c:manualLayout>
              <c:xMode val="edge"/>
              <c:yMode val="edge"/>
              <c:x val="0.0130486919045724"/>
              <c:y val="0.250249139317245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572244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2"/>
        <c:delete val="1"/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12138103-58dd-457f-a3b0-ba3efa471249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  <c:userShapes r:id="rId1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Converged MTOW vs. Mission Range: </a:t>
            </a:r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Supernal A-S2</a:t>
            </a:r>
          </a:p>
        </c:rich>
      </c:tx>
      <c:layout>
        <c:manualLayout>
          <c:xMode val="edge"/>
          <c:yMode val="edge"/>
          <c:x val="0.296916675557452"/>
          <c:y val="0.025273481705017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"1500 ft"</c:f>
              <c:strCache>
                <c:ptCount val="1"/>
                <c:pt idx="0">
                  <c:v>1500 ft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2"/>
              <c:layout>
                <c:manualLayout>
                  <c:x val="0.0408148209869491"/>
                  <c:y val="0.0198568227681893"/>
                </c:manualLayout>
              </c:layout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All!$B$3:$B$5</c:f>
              <c:strCache>
                <c:ptCount val="3"/>
                <c:pt idx="0">
                  <c:v>30 mi</c:v>
                </c:pt>
                <c:pt idx="1">
                  <c:v>45 mi</c:v>
                </c:pt>
                <c:pt idx="2">
                  <c:v>60 mi</c:v>
                </c:pt>
              </c:strCache>
            </c:strRef>
          </c:cat>
          <c:val>
            <c:numRef>
              <c:f>All!$D$21:$D$23</c:f>
              <c:numCache>
                <c:formatCode>0.0_ </c:formatCode>
                <c:ptCount val="3"/>
                <c:pt idx="0">
                  <c:v>2261.630792</c:v>
                </c:pt>
                <c:pt idx="1">
                  <c:v>2538.028639</c:v>
                </c:pt>
                <c:pt idx="2">
                  <c:v>2884.956197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"3000 ft"</c:f>
              <c:strCache>
                <c:ptCount val="1"/>
                <c:pt idx="0">
                  <c:v>3000 ft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00624546990127725"/>
                  <c:y val="-0.0147532107013209"/>
                </c:manualLayout>
              </c:layout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1"/>
              <c:layout>
                <c:manualLayout>
                  <c:x val="0.0236018471010775"/>
                  <c:y val="-0.0189504373177843"/>
                </c:manualLayout>
              </c:layout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All!$B$3:$B$5</c:f>
              <c:strCache>
                <c:ptCount val="3"/>
                <c:pt idx="0">
                  <c:v>30 mi</c:v>
                </c:pt>
                <c:pt idx="1">
                  <c:v>45 mi</c:v>
                </c:pt>
                <c:pt idx="2">
                  <c:v>60 mi</c:v>
                </c:pt>
              </c:strCache>
            </c:strRef>
          </c:cat>
          <c:val>
            <c:numRef>
              <c:f>All!$D$24:$D$26</c:f>
              <c:numCache>
                <c:formatCode>0.0_ </c:formatCode>
                <c:ptCount val="3"/>
                <c:pt idx="0">
                  <c:v>2206.229197</c:v>
                </c:pt>
                <c:pt idx="1">
                  <c:v>2474.214077</c:v>
                </c:pt>
                <c:pt idx="2">
                  <c:v>2811.886396</c:v>
                </c:pt>
              </c:numCache>
            </c:numRef>
          </c:val>
          <c:smooth val="0"/>
        </c:ser>
        <c:ser>
          <c:idx val="2"/>
          <c:order val="2"/>
          <c:spPr>
            <a:ln w="19050" cap="rnd">
              <a:solidFill>
                <a:srgbClr val="FF0000"/>
              </a:solidFill>
              <a:prstDash val="dash"/>
              <a:round/>
            </a:ln>
            <a:effectLst/>
            <a:sp3d contourW="19050"/>
          </c:spPr>
          <c:marker>
            <c:symbol val="none"/>
          </c:marker>
          <c:dLbls>
            <c:dLbl>
              <c:idx val="0"/>
              <c:delete val="1"/>
            </c:dLbl>
            <c:dLbl>
              <c:idx val="1"/>
              <c:layout>
                <c:manualLayout>
                  <c:x val="-0.0321164757520608"/>
                  <c:y val="-0.033271719038817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2"/>
              <c:layout>
                <c:manualLayout>
                  <c:x val="-0.038539770902473"/>
                  <c:y val="-0.0510166358595194"/>
                </c:manualLayout>
              </c:layout>
              <c:tx>
                <c:rich>
                  <a:bodyPr rot="0" spcFirstLastPara="0" vertOverflow="ellipsis" vert="horz" wrap="square" lIns="38100" tIns="19050" rIns="38100" bIns="19050" anchor="ctr" anchorCtr="1"/>
                  <a:lstStyle/>
                  <a:p>
                    <a:pPr defTabSz="914400">
                      <a:defRPr lang="en-US" sz="1000" b="0" i="0" u="none" strike="noStrike" kern="1200" baseline="0">
                        <a:solidFill>
                          <a:srgbClr val="FF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>
                        <a:solidFill>
                          <a:srgbClr val="FF0000"/>
                        </a:solidFill>
                      </a:rPr>
                      <a:t>Initial Guess MTOW</a:t>
                    </a:r>
                    <a:endParaRPr>
                      <a:solidFill>
                        <a:srgbClr val="FF0000"/>
                      </a:solidFill>
                    </a:endParaRPr>
                  </a:p>
                </c:rich>
              </c:tx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1000" b="0" i="0" u="none" strike="noStrike" kern="1200" baseline="0">
                    <a:solidFill>
                      <a:srgbClr val="FF0000"/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All!$B$3:$B$5</c:f>
              <c:strCache>
                <c:ptCount val="3"/>
                <c:pt idx="0">
                  <c:v>30 mi</c:v>
                </c:pt>
                <c:pt idx="1">
                  <c:v>45 mi</c:v>
                </c:pt>
                <c:pt idx="2">
                  <c:v>60 mi</c:v>
                </c:pt>
              </c:strCache>
            </c:strRef>
          </c:cat>
          <c:val>
            <c:numRef>
              <c:f>All!$C$21:$C$23</c:f>
              <c:numCache>
                <c:formatCode>0.0_ </c:formatCode>
                <c:ptCount val="3"/>
                <c:pt idx="0">
                  <c:v>3200</c:v>
                </c:pt>
                <c:pt idx="1">
                  <c:v>3200</c:v>
                </c:pt>
                <c:pt idx="2">
                  <c:v>3200</c:v>
                </c:pt>
              </c:numCache>
            </c:numRef>
          </c:val>
          <c:smooth val="0"/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0"/>
        <c:smooth val="0"/>
        <c:axId val="757224400"/>
        <c:axId val="766602742"/>
      </c:lineChart>
      <c:catAx>
        <c:axId val="757224400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200"/>
                  <a:t>Mission Range</a:t>
                </a:r>
                <a:endParaRPr sz="1200"/>
              </a:p>
            </c:rich>
          </c:tx>
          <c:layout>
            <c:manualLayout>
              <c:xMode val="edge"/>
              <c:yMode val="edge"/>
              <c:x val="0.426144140290847"/>
              <c:y val="0.818123667377399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66602742"/>
        <c:crosses val="autoZero"/>
        <c:auto val="1"/>
        <c:lblAlgn val="ctr"/>
        <c:lblOffset val="100"/>
        <c:noMultiLvlLbl val="0"/>
      </c:catAx>
      <c:valAx>
        <c:axId val="76660274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200"/>
                  <a:t>Converged MTOW (kg)</a:t>
                </a:r>
                <a:endParaRPr sz="1200"/>
              </a:p>
            </c:rich>
          </c:tx>
          <c:layout>
            <c:manualLayout>
              <c:xMode val="edge"/>
              <c:yMode val="edge"/>
              <c:x val="0.0145423438836612"/>
              <c:y val="0.239827211238143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572244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2"/>
        <c:delete val="1"/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12138103-58dd-457f-a3b0-ba3efa471249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17</xdr:col>
      <xdr:colOff>252095</xdr:colOff>
      <xdr:row>0</xdr:row>
      <xdr:rowOff>133350</xdr:rowOff>
    </xdr:from>
    <xdr:to>
      <xdr:col>27</xdr:col>
      <xdr:colOff>18415</xdr:colOff>
      <xdr:row>10</xdr:row>
      <xdr:rowOff>413385</xdr:rowOff>
    </xdr:to>
    <xdr:graphicFrame>
      <xdr:nvGraphicFramePr>
        <xdr:cNvPr id="3" name="Chart 2"/>
        <xdr:cNvGraphicFramePr/>
      </xdr:nvGraphicFramePr>
      <xdr:xfrm>
        <a:off x="13206095" y="133350"/>
        <a:ext cx="5938520" cy="343471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281940</xdr:colOff>
      <xdr:row>11</xdr:row>
      <xdr:rowOff>120015</xdr:rowOff>
    </xdr:from>
    <xdr:to>
      <xdr:col>27</xdr:col>
      <xdr:colOff>48260</xdr:colOff>
      <xdr:row>24</xdr:row>
      <xdr:rowOff>62230</xdr:rowOff>
    </xdr:to>
    <xdr:graphicFrame>
      <xdr:nvGraphicFramePr>
        <xdr:cNvPr id="4" name="Chart 3"/>
        <xdr:cNvGraphicFramePr/>
      </xdr:nvGraphicFramePr>
      <xdr:xfrm>
        <a:off x="13235940" y="3909695"/>
        <a:ext cx="5938520" cy="342963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264160</xdr:colOff>
      <xdr:row>26</xdr:row>
      <xdr:rowOff>13970</xdr:rowOff>
    </xdr:from>
    <xdr:to>
      <xdr:col>27</xdr:col>
      <xdr:colOff>23495</xdr:colOff>
      <xdr:row>44</xdr:row>
      <xdr:rowOff>157480</xdr:rowOff>
    </xdr:to>
    <xdr:graphicFrame>
      <xdr:nvGraphicFramePr>
        <xdr:cNvPr id="5" name="Chart 4"/>
        <xdr:cNvGraphicFramePr/>
      </xdr:nvGraphicFramePr>
      <xdr:xfrm>
        <a:off x="13218160" y="7656830"/>
        <a:ext cx="5931535" cy="343535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0.788623214237596</cdr:x>
      <cdr:y>0.33717611758958</cdr:y>
    </cdr:from>
    <cdr:to>
      <cdr:x>0.998862048981089</cdr:x>
      <cdr:y>0.398005610677138</cdr:y>
    </cdr:to>
    <cdr:sp>
      <cdr:nvSpPr>
        <cdr:cNvPr id="2" name="Rectangles 1"/>
        <cdr:cNvSpPr/>
      </cdr:nvSpPr>
      <cdr:spPr xmlns:a="http://schemas.openxmlformats.org/drawingml/2006/main">
        <a:xfrm xmlns:a="http://schemas.openxmlformats.org/drawingml/2006/main">
          <a:off x="4675242" y="1157033"/>
          <a:ext cx="1246371" cy="208739"/>
        </a:xfrm>
        <a:prstGeom xmlns:a="http://schemas.openxmlformats.org/drawingml/2006/main" prst="rect">
          <a:avLst/>
        </a:prstGeom>
      </cdr:spPr>
      <cdr:txBody xmlns:a="http://schemas.openxmlformats.org/drawingml/2006/main">
        <a:bodyPr vertOverflow="clip" horzOverflow="clip" wrap="square" rtlCol="0" anchor="t"/>
        <a:p>
          <a:r>
            <a:rPr lang="en-US" sz="1000">
              <a:solidFill>
                <a:srgbClr val="FF0000"/>
              </a:solidFill>
            </a:rPr>
            <a:t>Initial Guess MTOW</a:t>
          </a:r>
          <a:endParaRPr lang="en-US" sz="1000">
            <a:solidFill>
              <a:srgbClr val="FF0000"/>
            </a:solidFill>
          </a:endParaRPr>
        </a:p>
      </cdr:txBody>
    </cdr:sp>
  </cdr:relSizeAnchor>
</c:userShap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26"/>
  <sheetViews>
    <sheetView tabSelected="1" zoomScale="70" zoomScaleNormal="70" topLeftCell="C11" workbookViewId="0">
      <selection activeCell="AE19" sqref="AE19"/>
    </sheetView>
  </sheetViews>
  <sheetFormatPr defaultColWidth="9" defaultRowHeight="14.4"/>
  <cols>
    <col min="1" max="1" width="10.7777777777778" style="2" customWidth="1"/>
    <col min="2" max="2" width="15.7777777777778" style="2" customWidth="1"/>
    <col min="3" max="11" width="12.7777777777778" style="2" customWidth="1"/>
    <col min="12" max="13" width="12.7777777777778" style="2" hidden="1" customWidth="1"/>
    <col min="14" max="16" width="12.7777777777778" style="2" customWidth="1"/>
    <col min="17" max="16383" width="9" style="2"/>
  </cols>
  <sheetData>
    <row r="1" ht="31" customHeight="1" spans="1:16">
      <c r="A1" s="3" t="s">
        <v>0</v>
      </c>
      <c r="B1" s="4"/>
      <c r="C1" s="5" t="s">
        <v>1</v>
      </c>
      <c r="D1" s="6"/>
      <c r="E1" s="7"/>
      <c r="F1" s="5" t="s">
        <v>2</v>
      </c>
      <c r="G1" s="6"/>
      <c r="H1" s="7"/>
      <c r="I1" s="5" t="s">
        <v>3</v>
      </c>
      <c r="J1" s="6"/>
      <c r="K1" s="7"/>
      <c r="L1" s="51" t="s">
        <v>4</v>
      </c>
      <c r="M1" s="52" t="s">
        <v>5</v>
      </c>
      <c r="N1" s="53" t="s">
        <v>6</v>
      </c>
      <c r="O1" s="54"/>
      <c r="P1" s="55"/>
    </row>
    <row r="2" s="1" customFormat="1" ht="50" customHeight="1" spans="1:16">
      <c r="A2" s="8" t="s">
        <v>7</v>
      </c>
      <c r="B2" s="9" t="s">
        <v>8</v>
      </c>
      <c r="C2" s="8" t="s">
        <v>9</v>
      </c>
      <c r="D2" s="10" t="s">
        <v>10</v>
      </c>
      <c r="E2" s="9" t="s">
        <v>11</v>
      </c>
      <c r="F2" s="8" t="s">
        <v>9</v>
      </c>
      <c r="G2" s="10" t="s">
        <v>10</v>
      </c>
      <c r="H2" s="9" t="s">
        <v>11</v>
      </c>
      <c r="I2" s="8" t="s">
        <v>9</v>
      </c>
      <c r="J2" s="10" t="s">
        <v>10</v>
      </c>
      <c r="K2" s="9" t="s">
        <v>11</v>
      </c>
      <c r="L2" s="9"/>
      <c r="M2" s="56"/>
      <c r="N2" s="57" t="s">
        <v>12</v>
      </c>
      <c r="O2" s="58" t="s">
        <v>13</v>
      </c>
      <c r="P2" s="59" t="s">
        <v>11</v>
      </c>
    </row>
    <row r="3" spans="1:16">
      <c r="A3" s="11" t="s">
        <v>14</v>
      </c>
      <c r="B3" s="12" t="s">
        <v>15</v>
      </c>
      <c r="C3" s="13">
        <v>3175</v>
      </c>
      <c r="D3" s="14">
        <v>1974.906583</v>
      </c>
      <c r="E3" s="15">
        <f>($C$3-D3)/$C$3</f>
        <v>0.377982178582677</v>
      </c>
      <c r="F3" s="13">
        <v>1703.412939</v>
      </c>
      <c r="G3" s="14">
        <v>1246.775241</v>
      </c>
      <c r="H3" s="15">
        <f>($F$3-G3)/$F$3</f>
        <v>0.268072225791635</v>
      </c>
      <c r="I3" s="13">
        <v>379.007417</v>
      </c>
      <c r="J3" s="14">
        <v>274.131342</v>
      </c>
      <c r="K3" s="15">
        <f t="shared" ref="K3:K8" si="0">(I3-J3)/I3</f>
        <v>0.276712460748492</v>
      </c>
      <c r="L3" s="60">
        <v>454</v>
      </c>
      <c r="M3" s="61">
        <f>J3/D3</f>
        <v>0.13880724504122</v>
      </c>
      <c r="N3" s="62">
        <v>62.166692</v>
      </c>
      <c r="O3" s="63">
        <v>44.964393</v>
      </c>
      <c r="P3" s="15">
        <f>(N3-O3)/N3</f>
        <v>0.276712471688215</v>
      </c>
    </row>
    <row r="4" spans="1:16">
      <c r="A4" s="16"/>
      <c r="B4" s="17" t="s">
        <v>16</v>
      </c>
      <c r="C4" s="18">
        <v>3175</v>
      </c>
      <c r="D4" s="19">
        <v>2207.300397</v>
      </c>
      <c r="E4" s="20">
        <f>($C$3-D4)/$C$3</f>
        <v>0.304787276535433</v>
      </c>
      <c r="F4" s="18"/>
      <c r="G4" s="19">
        <v>1330.798408</v>
      </c>
      <c r="H4" s="20">
        <f>($F$3-G4)/$F$3</f>
        <v>0.218745861598742</v>
      </c>
      <c r="I4" s="18">
        <v>541.616335</v>
      </c>
      <c r="J4" s="19">
        <v>422.501988</v>
      </c>
      <c r="K4" s="20">
        <f t="shared" si="0"/>
        <v>0.219923845169847</v>
      </c>
      <c r="L4" s="22"/>
      <c r="M4" s="64">
        <f>J4/D4</f>
        <v>0.191411186521886</v>
      </c>
      <c r="N4" s="65">
        <v>88.838619</v>
      </c>
      <c r="O4" s="66">
        <v>69.300889</v>
      </c>
      <c r="P4" s="20">
        <f>(N4-O4)/N4</f>
        <v>0.21992383740229</v>
      </c>
    </row>
    <row r="5" spans="1:16">
      <c r="A5" s="16"/>
      <c r="B5" s="17" t="s">
        <v>17</v>
      </c>
      <c r="C5" s="18">
        <v>3175</v>
      </c>
      <c r="D5" s="19">
        <v>2475.500809</v>
      </c>
      <c r="E5" s="20">
        <f>($C$3-D5)/$C$3</f>
        <v>0.220314705826772</v>
      </c>
      <c r="F5" s="18"/>
      <c r="G5" s="19">
        <v>1430.324931</v>
      </c>
      <c r="H5" s="20">
        <f>($F$3-G5)/$F$3</f>
        <v>0.160318148199765</v>
      </c>
      <c r="I5" s="18">
        <v>704.225253</v>
      </c>
      <c r="J5" s="19">
        <v>591.175878</v>
      </c>
      <c r="K5" s="20">
        <f t="shared" si="0"/>
        <v>0.160530135093011</v>
      </c>
      <c r="L5" s="22"/>
      <c r="M5" s="64">
        <f>J5/D5</f>
        <v>0.238810617977059</v>
      </c>
      <c r="N5" s="65">
        <v>115.510547</v>
      </c>
      <c r="O5" s="66">
        <v>96.967623</v>
      </c>
      <c r="P5" s="20">
        <f>(N5-O5)/N5</f>
        <v>0.160530137563975</v>
      </c>
    </row>
    <row r="6" spans="1:16">
      <c r="A6" s="21" t="s">
        <v>18</v>
      </c>
      <c r="B6" s="22" t="s">
        <v>15</v>
      </c>
      <c r="C6" s="23"/>
      <c r="D6" s="24">
        <v>1908.813202</v>
      </c>
      <c r="E6" s="25">
        <f>($C$3-D6)/$C$3</f>
        <v>0.398798991496063</v>
      </c>
      <c r="F6" s="23">
        <v>1711.972412</v>
      </c>
      <c r="G6" s="24">
        <v>1225.799357</v>
      </c>
      <c r="H6" s="25">
        <f>($F$6-G6)/$F$3</f>
        <v>0.285411155374581</v>
      </c>
      <c r="I6" s="23">
        <v>343.028533</v>
      </c>
      <c r="J6" s="24">
        <v>229.013844</v>
      </c>
      <c r="K6" s="25">
        <f t="shared" si="0"/>
        <v>0.332376691824642</v>
      </c>
      <c r="L6" s="22"/>
      <c r="M6" s="67">
        <f>J6/D6</f>
        <v>0.119977085112386</v>
      </c>
      <c r="N6" s="68">
        <v>56.265255</v>
      </c>
      <c r="O6" s="69">
        <v>37.563996</v>
      </c>
      <c r="P6" s="25">
        <f>(N6-O6)/N6</f>
        <v>0.332376686109394</v>
      </c>
    </row>
    <row r="7" spans="1:16">
      <c r="A7" s="21"/>
      <c r="B7" s="22" t="s">
        <v>16</v>
      </c>
      <c r="C7" s="23"/>
      <c r="D7" s="24">
        <v>2132.428989</v>
      </c>
      <c r="E7" s="25">
        <f>($C$3-D7)/$C$3</f>
        <v>0.328368822362205</v>
      </c>
      <c r="F7" s="23"/>
      <c r="G7" s="24">
        <v>1306.904457</v>
      </c>
      <c r="H7" s="25">
        <f>($F$6-G7)/$F$3</f>
        <v>0.237797862001564</v>
      </c>
      <c r="I7" s="23">
        <v>503.763445</v>
      </c>
      <c r="J7" s="24">
        <v>371.524532</v>
      </c>
      <c r="K7" s="25">
        <f t="shared" si="0"/>
        <v>0.262502002303879</v>
      </c>
      <c r="L7" s="22"/>
      <c r="M7" s="67">
        <f t="shared" ref="M7:M17" si="1">J7/D7</f>
        <v>0.174225980755507</v>
      </c>
      <c r="N7" s="68">
        <v>82.629799</v>
      </c>
      <c r="O7" s="69">
        <v>60.939311</v>
      </c>
      <c r="P7" s="25">
        <f t="shared" ref="P7:P15" si="2">(N7-O7)/N7</f>
        <v>0.262502006086206</v>
      </c>
    </row>
    <row r="8" spans="1:16">
      <c r="A8" s="26"/>
      <c r="B8" s="27" t="s">
        <v>17</v>
      </c>
      <c r="C8" s="28"/>
      <c r="D8" s="29">
        <v>2391.011895</v>
      </c>
      <c r="E8" s="30">
        <f>($C$3-D8)/$C$3</f>
        <v>0.246925387401575</v>
      </c>
      <c r="F8" s="28"/>
      <c r="G8" s="29">
        <v>1403.153055</v>
      </c>
      <c r="H8" s="30">
        <f>($F$6-G8)/$F$3</f>
        <v>0.18129447647691</v>
      </c>
      <c r="I8" s="28">
        <v>664.498356</v>
      </c>
      <c r="J8" s="29">
        <v>533.85884</v>
      </c>
      <c r="K8" s="30">
        <f t="shared" si="0"/>
        <v>0.196598704602363</v>
      </c>
      <c r="L8" s="27"/>
      <c r="M8" s="70">
        <f t="shared" si="1"/>
        <v>0.223277366840536</v>
      </c>
      <c r="N8" s="71">
        <v>108.994343</v>
      </c>
      <c r="O8" s="72">
        <v>87.566196</v>
      </c>
      <c r="P8" s="30">
        <f t="shared" si="2"/>
        <v>0.196598707879729</v>
      </c>
    </row>
    <row r="9" ht="50" customHeight="1" spans="3:15">
      <c r="C9" s="31"/>
      <c r="D9" s="31"/>
      <c r="E9" s="31"/>
      <c r="F9" s="31"/>
      <c r="G9" s="31"/>
      <c r="H9" s="31"/>
      <c r="I9" s="31"/>
      <c r="J9" s="31"/>
      <c r="K9" s="31"/>
      <c r="N9" s="73"/>
      <c r="O9" s="73"/>
    </row>
    <row r="10" ht="31" customHeight="1" spans="1:16">
      <c r="A10" s="3" t="s">
        <v>19</v>
      </c>
      <c r="B10" s="4"/>
      <c r="C10" s="32" t="s">
        <v>1</v>
      </c>
      <c r="D10" s="33"/>
      <c r="E10" s="34"/>
      <c r="F10" s="32" t="s">
        <v>2</v>
      </c>
      <c r="G10" s="33"/>
      <c r="H10" s="34"/>
      <c r="I10" s="32" t="s">
        <v>3</v>
      </c>
      <c r="J10" s="33"/>
      <c r="K10" s="34"/>
      <c r="L10" s="51" t="s">
        <v>4</v>
      </c>
      <c r="M10" s="74" t="s">
        <v>5</v>
      </c>
      <c r="N10" s="53" t="s">
        <v>6</v>
      </c>
      <c r="O10" s="54"/>
      <c r="P10" s="55"/>
    </row>
    <row r="11" s="1" customFormat="1" ht="50" customHeight="1" spans="1:16">
      <c r="A11" s="8" t="s">
        <v>7</v>
      </c>
      <c r="B11" s="9" t="s">
        <v>8</v>
      </c>
      <c r="C11" s="35" t="s">
        <v>9</v>
      </c>
      <c r="D11" s="36" t="s">
        <v>10</v>
      </c>
      <c r="E11" s="37" t="s">
        <v>11</v>
      </c>
      <c r="F11" s="35" t="s">
        <v>9</v>
      </c>
      <c r="G11" s="36" t="s">
        <v>10</v>
      </c>
      <c r="H11" s="37" t="s">
        <v>11</v>
      </c>
      <c r="I11" s="35" t="s">
        <v>9</v>
      </c>
      <c r="J11" s="36" t="s">
        <v>10</v>
      </c>
      <c r="K11" s="37" t="s">
        <v>11</v>
      </c>
      <c r="L11" s="9"/>
      <c r="M11" s="75"/>
      <c r="N11" s="57" t="s">
        <v>12</v>
      </c>
      <c r="O11" s="58" t="s">
        <v>13</v>
      </c>
      <c r="P11" s="59" t="s">
        <v>11</v>
      </c>
    </row>
    <row r="12" spans="1:16">
      <c r="A12" s="11" t="s">
        <v>14</v>
      </c>
      <c r="B12" s="12" t="s">
        <v>15</v>
      </c>
      <c r="C12" s="13">
        <v>2404</v>
      </c>
      <c r="D12" s="14">
        <v>2129.398504</v>
      </c>
      <c r="E12" s="15">
        <f t="shared" ref="E12:E17" si="3">($C$12-D12)/$C$12</f>
        <v>0.114226911813644</v>
      </c>
      <c r="F12" s="13">
        <v>1591.091189</v>
      </c>
      <c r="G12" s="14">
        <v>1452.508004</v>
      </c>
      <c r="H12" s="15">
        <f t="shared" ref="H12:H17" si="4">($F$12-G12)/$F$12</f>
        <v>0.0870994610227836</v>
      </c>
      <c r="I12" s="13">
        <v>255.741728</v>
      </c>
      <c r="J12" s="14">
        <v>222.890499</v>
      </c>
      <c r="K12" s="15">
        <f t="shared" ref="K12:K17" si="5">(I12-J12)/I12</f>
        <v>0.128454708024808</v>
      </c>
      <c r="L12" s="60">
        <v>454</v>
      </c>
      <c r="M12" s="76">
        <f t="shared" si="1"/>
        <v>0.104672985625428</v>
      </c>
      <c r="N12" s="62">
        <v>41.948037</v>
      </c>
      <c r="O12" s="63">
        <v>36.559614</v>
      </c>
      <c r="P12" s="15">
        <f t="shared" si="2"/>
        <v>0.128454711718691</v>
      </c>
    </row>
    <row r="13" spans="1:16">
      <c r="A13" s="16"/>
      <c r="B13" s="17" t="s">
        <v>16</v>
      </c>
      <c r="C13" s="18">
        <v>2404</v>
      </c>
      <c r="D13" s="19">
        <v>2401.411534</v>
      </c>
      <c r="E13" s="20">
        <f t="shared" si="3"/>
        <v>0.00107673294509158</v>
      </c>
      <c r="F13" s="18"/>
      <c r="G13" s="19">
        <v>1589.759485</v>
      </c>
      <c r="H13" s="20">
        <f t="shared" si="4"/>
        <v>0.000836975284136241</v>
      </c>
      <c r="I13" s="18">
        <v>358.09555</v>
      </c>
      <c r="J13" s="19">
        <v>357.652049</v>
      </c>
      <c r="K13" s="20">
        <f t="shared" si="5"/>
        <v>0.00123849905423294</v>
      </c>
      <c r="L13" s="22"/>
      <c r="M13" s="77">
        <f t="shared" si="1"/>
        <v>0.148934093109923</v>
      </c>
      <c r="N13" s="65">
        <v>58.736623</v>
      </c>
      <c r="O13" s="66">
        <v>58.663877</v>
      </c>
      <c r="P13" s="20">
        <f t="shared" si="2"/>
        <v>0.00123851178846292</v>
      </c>
    </row>
    <row r="14" spans="1:16">
      <c r="A14" s="16"/>
      <c r="B14" s="17" t="s">
        <v>17</v>
      </c>
      <c r="C14" s="18">
        <v>2404</v>
      </c>
      <c r="D14" s="19">
        <v>2834.127149</v>
      </c>
      <c r="E14" s="20">
        <f t="shared" si="3"/>
        <v>-0.178921443011647</v>
      </c>
      <c r="F14" s="18"/>
      <c r="G14" s="19">
        <v>1819.268058</v>
      </c>
      <c r="H14" s="20">
        <f t="shared" si="4"/>
        <v>-0.143409045677268</v>
      </c>
      <c r="I14" s="18">
        <v>460.449371</v>
      </c>
      <c r="J14" s="19">
        <v>560.859091</v>
      </c>
      <c r="K14" s="20">
        <f t="shared" si="5"/>
        <v>-0.218068969845547</v>
      </c>
      <c r="L14" s="22"/>
      <c r="M14" s="77">
        <f t="shared" si="1"/>
        <v>0.197894823172593</v>
      </c>
      <c r="N14" s="65">
        <v>75.525208</v>
      </c>
      <c r="O14" s="66">
        <v>91.994912</v>
      </c>
      <c r="P14" s="20">
        <f t="shared" si="2"/>
        <v>-0.218068965794838</v>
      </c>
    </row>
    <row r="15" spans="1:16">
      <c r="A15" s="21" t="s">
        <v>18</v>
      </c>
      <c r="B15" s="22" t="s">
        <v>15</v>
      </c>
      <c r="C15" s="23"/>
      <c r="D15" s="24">
        <v>2125.661143</v>
      </c>
      <c r="E15" s="25">
        <f t="shared" si="3"/>
        <v>0.115781554492513</v>
      </c>
      <c r="F15" s="23">
        <v>1598.597648</v>
      </c>
      <c r="G15" s="24">
        <v>1456.625249</v>
      </c>
      <c r="H15" s="25">
        <f>($F$15-G15)/$F$12</f>
        <v>0.0892295802915165</v>
      </c>
      <c r="I15" s="23">
        <v>253.145236</v>
      </c>
      <c r="J15" s="24">
        <v>215.035895</v>
      </c>
      <c r="K15" s="25">
        <f t="shared" si="5"/>
        <v>0.150543386090031</v>
      </c>
      <c r="L15" s="22"/>
      <c r="M15" s="78">
        <f t="shared" si="1"/>
        <v>0.101161888247397</v>
      </c>
      <c r="N15" s="68">
        <v>41.522147</v>
      </c>
      <c r="O15" s="69">
        <v>35.271263</v>
      </c>
      <c r="P15" s="25">
        <f t="shared" si="2"/>
        <v>0.150543371468725</v>
      </c>
    </row>
    <row r="16" spans="1:16">
      <c r="A16" s="21"/>
      <c r="B16" s="22" t="s">
        <v>16</v>
      </c>
      <c r="C16" s="23"/>
      <c r="D16" s="24">
        <v>2420.403092</v>
      </c>
      <c r="E16" s="25">
        <f t="shared" si="3"/>
        <v>-0.00682324958402663</v>
      </c>
      <c r="F16" s="23"/>
      <c r="G16" s="24">
        <v>1607.146779</v>
      </c>
      <c r="H16" s="25">
        <f>($F$15-G16)/$F$12</f>
        <v>-0.00537312446898352</v>
      </c>
      <c r="I16" s="23">
        <v>356.092953</v>
      </c>
      <c r="J16" s="24">
        <v>359.256313</v>
      </c>
      <c r="K16" s="25">
        <f t="shared" si="5"/>
        <v>-0.0088835231737932</v>
      </c>
      <c r="L16" s="22"/>
      <c r="M16" s="78">
        <f t="shared" si="1"/>
        <v>0.148428298652991</v>
      </c>
      <c r="N16" s="68">
        <v>58.408147</v>
      </c>
      <c r="O16" s="69">
        <v>58.927017</v>
      </c>
      <c r="P16" s="25">
        <f t="shared" ref="P16:P22" si="6">(N16-O16)/N16</f>
        <v>-0.00888352099237115</v>
      </c>
    </row>
    <row r="17" spans="1:16">
      <c r="A17" s="26"/>
      <c r="B17" s="27" t="s">
        <v>17</v>
      </c>
      <c r="C17" s="28"/>
      <c r="D17" s="29">
        <v>2958.038041</v>
      </c>
      <c r="E17" s="30">
        <f t="shared" si="3"/>
        <v>-0.230465075291181</v>
      </c>
      <c r="F17" s="28"/>
      <c r="G17" s="29">
        <v>1898.586616</v>
      </c>
      <c r="H17" s="30">
        <f>($F$15-G17)/$F$12</f>
        <v>-0.188542913237137</v>
      </c>
      <c r="I17" s="28">
        <v>459.04067</v>
      </c>
      <c r="J17" s="29">
        <v>605.451425</v>
      </c>
      <c r="K17" s="30">
        <f t="shared" si="5"/>
        <v>-0.318949419013352</v>
      </c>
      <c r="L17" s="27"/>
      <c r="M17" s="79">
        <f t="shared" si="1"/>
        <v>0.204680067195931</v>
      </c>
      <c r="N17" s="71">
        <v>75.294146</v>
      </c>
      <c r="O17" s="72">
        <v>99.30917</v>
      </c>
      <c r="P17" s="30">
        <f t="shared" si="6"/>
        <v>-0.31894941739561</v>
      </c>
    </row>
    <row r="18" ht="50" customHeight="1" spans="3:15">
      <c r="C18" s="31"/>
      <c r="D18" s="31"/>
      <c r="E18" s="31"/>
      <c r="F18" s="31"/>
      <c r="G18" s="31"/>
      <c r="H18" s="31"/>
      <c r="I18" s="31"/>
      <c r="J18" s="31"/>
      <c r="K18" s="31"/>
      <c r="N18" s="73"/>
      <c r="O18" s="73"/>
    </row>
    <row r="19" ht="31" customHeight="1" spans="1:16">
      <c r="A19" s="3" t="s">
        <v>20</v>
      </c>
      <c r="B19" s="4"/>
      <c r="C19" s="32" t="s">
        <v>1</v>
      </c>
      <c r="D19" s="33"/>
      <c r="E19" s="34"/>
      <c r="F19" s="32" t="s">
        <v>2</v>
      </c>
      <c r="G19" s="33"/>
      <c r="H19" s="34"/>
      <c r="I19" s="32" t="s">
        <v>3</v>
      </c>
      <c r="J19" s="33"/>
      <c r="K19" s="34"/>
      <c r="L19" s="51" t="s">
        <v>4</v>
      </c>
      <c r="M19" s="74" t="s">
        <v>5</v>
      </c>
      <c r="N19" s="53" t="s">
        <v>6</v>
      </c>
      <c r="O19" s="54"/>
      <c r="P19" s="55"/>
    </row>
    <row r="20" s="1" customFormat="1" ht="50" customHeight="1" spans="1:16">
      <c r="A20" s="8" t="s">
        <v>7</v>
      </c>
      <c r="B20" s="9" t="s">
        <v>8</v>
      </c>
      <c r="C20" s="35" t="s">
        <v>9</v>
      </c>
      <c r="D20" s="36" t="s">
        <v>10</v>
      </c>
      <c r="E20" s="37" t="s">
        <v>11</v>
      </c>
      <c r="F20" s="35" t="s">
        <v>9</v>
      </c>
      <c r="G20" s="36" t="s">
        <v>10</v>
      </c>
      <c r="H20" s="37" t="s">
        <v>11</v>
      </c>
      <c r="I20" s="80" t="s">
        <v>9</v>
      </c>
      <c r="J20" s="81" t="s">
        <v>10</v>
      </c>
      <c r="K20" s="82" t="s">
        <v>11</v>
      </c>
      <c r="L20" s="9"/>
      <c r="M20" s="75"/>
      <c r="N20" s="57" t="s">
        <v>12</v>
      </c>
      <c r="O20" s="58" t="s">
        <v>13</v>
      </c>
      <c r="P20" s="59" t="s">
        <v>11</v>
      </c>
    </row>
    <row r="21" spans="1:16">
      <c r="A21" s="11" t="s">
        <v>14</v>
      </c>
      <c r="B21" s="12" t="s">
        <v>15</v>
      </c>
      <c r="C21" s="13">
        <v>3200</v>
      </c>
      <c r="D21" s="38">
        <v>2261.630792</v>
      </c>
      <c r="E21" s="39">
        <f>($C$21-D21)/$C$21</f>
        <v>0.2932403775</v>
      </c>
      <c r="F21" s="40">
        <v>1927.721022</v>
      </c>
      <c r="G21" s="38">
        <v>1522.728856</v>
      </c>
      <c r="H21" s="39">
        <f>($F$21-G21)/$F$21</f>
        <v>0.210088576810675</v>
      </c>
      <c r="I21" s="40">
        <v>381.922397</v>
      </c>
      <c r="J21" s="38">
        <v>284.901936</v>
      </c>
      <c r="K21" s="39">
        <f>(I21-J21)/I21</f>
        <v>0.254031870772952</v>
      </c>
      <c r="L21" s="83">
        <v>454</v>
      </c>
      <c r="M21" s="84">
        <f t="shared" ref="M21:M26" si="7">J21/D21</f>
        <v>0.125971903551975</v>
      </c>
      <c r="N21" s="85">
        <v>62.644821</v>
      </c>
      <c r="O21" s="86">
        <v>46.73104</v>
      </c>
      <c r="P21" s="39">
        <f t="shared" si="6"/>
        <v>0.25403186960978</v>
      </c>
    </row>
    <row r="22" spans="1:16">
      <c r="A22" s="16"/>
      <c r="B22" s="17" t="s">
        <v>16</v>
      </c>
      <c r="C22" s="18">
        <v>3200</v>
      </c>
      <c r="D22" s="41">
        <v>2538.028639</v>
      </c>
      <c r="E22" s="42">
        <f>($C$21-D22)/$C$21</f>
        <v>0.2068660503125</v>
      </c>
      <c r="F22" s="43"/>
      <c r="G22" s="41">
        <v>1638.401895</v>
      </c>
      <c r="H22" s="42">
        <f>($F$21-G22)/$F$21</f>
        <v>0.150083504665957</v>
      </c>
      <c r="I22" s="43">
        <v>543.408993</v>
      </c>
      <c r="J22" s="41">
        <v>445.626745</v>
      </c>
      <c r="K22" s="42">
        <f>(I22-J22)/I22</f>
        <v>0.179942270480606</v>
      </c>
      <c r="L22" s="87"/>
      <c r="M22" s="88">
        <f t="shared" si="7"/>
        <v>0.175579872564235</v>
      </c>
      <c r="N22" s="89">
        <v>89.13266</v>
      </c>
      <c r="O22" s="90">
        <v>73.093927</v>
      </c>
      <c r="P22" s="42">
        <f t="shared" si="6"/>
        <v>0.179942268075473</v>
      </c>
    </row>
    <row r="23" ht="14" customHeight="1" spans="1:16">
      <c r="A23" s="16"/>
      <c r="B23" s="17" t="s">
        <v>17</v>
      </c>
      <c r="C23" s="18">
        <v>3200</v>
      </c>
      <c r="D23" s="44">
        <v>2884.956197</v>
      </c>
      <c r="E23" s="42">
        <f>($C$21-D23)/$C$21</f>
        <v>0.0984511884375</v>
      </c>
      <c r="F23" s="43"/>
      <c r="G23" s="44">
        <v>1787.826224</v>
      </c>
      <c r="H23" s="42">
        <f>($F$21-G23)/$F$21</f>
        <v>0.0725700432808789</v>
      </c>
      <c r="I23" s="43">
        <v>704.895588</v>
      </c>
      <c r="J23" s="44">
        <v>643.129973</v>
      </c>
      <c r="K23" s="42">
        <f>(I23-J23)/I23</f>
        <v>0.0876237786864968</v>
      </c>
      <c r="L23" s="87"/>
      <c r="M23" s="91" t="s">
        <v>21</v>
      </c>
      <c r="N23" s="89">
        <v>115.620499</v>
      </c>
      <c r="O23" s="44">
        <v>105.489394</v>
      </c>
      <c r="P23" s="42">
        <f>(N23-O23)/N23</f>
        <v>0.0876237785481274</v>
      </c>
    </row>
    <row r="24" spans="1:16">
      <c r="A24" s="21" t="s">
        <v>18</v>
      </c>
      <c r="B24" s="22" t="s">
        <v>15</v>
      </c>
      <c r="C24" s="23"/>
      <c r="D24" s="45">
        <v>2206.229197</v>
      </c>
      <c r="E24" s="46">
        <f>($C$21-D24)/$C$21</f>
        <v>0.3105533759375</v>
      </c>
      <c r="F24" s="47">
        <v>1935.55643</v>
      </c>
      <c r="G24" s="45">
        <v>1503.446711</v>
      </c>
      <c r="H24" s="46">
        <f>($F$24-G24)/$F$21</f>
        <v>0.224155733152554</v>
      </c>
      <c r="I24" s="47">
        <v>353.164333</v>
      </c>
      <c r="J24" s="45">
        <v>248.782486</v>
      </c>
      <c r="K24" s="46">
        <f>(I24-J24)/I24</f>
        <v>0.295561689690788</v>
      </c>
      <c r="L24" s="87"/>
      <c r="M24" s="92">
        <f t="shared" si="7"/>
        <v>0.112763663149001</v>
      </c>
      <c r="N24" s="93">
        <v>57.92778</v>
      </c>
      <c r="O24" s="94">
        <v>40.806547</v>
      </c>
      <c r="P24" s="46">
        <f>(N24-O24)/N24</f>
        <v>0.295561697686326</v>
      </c>
    </row>
    <row r="25" spans="1:16">
      <c r="A25" s="21"/>
      <c r="B25" s="22" t="s">
        <v>16</v>
      </c>
      <c r="C25" s="23"/>
      <c r="D25" s="45">
        <v>2474.214077</v>
      </c>
      <c r="E25" s="46">
        <f>($C$21-D25)/$C$21</f>
        <v>0.2268081009375</v>
      </c>
      <c r="F25" s="47"/>
      <c r="G25" s="45">
        <v>1615.999378</v>
      </c>
      <c r="H25" s="46">
        <f>($F$24-G25)/$F$21</f>
        <v>0.165769345435919</v>
      </c>
      <c r="I25" s="47">
        <v>513.938995</v>
      </c>
      <c r="J25" s="95">
        <v>404.214699</v>
      </c>
      <c r="K25" s="46">
        <f>(I25-J25)/I25</f>
        <v>0.213496732233755</v>
      </c>
      <c r="L25" s="87"/>
      <c r="M25" s="92">
        <f t="shared" si="7"/>
        <v>0.163370947872915</v>
      </c>
      <c r="N25" s="93">
        <v>84.298844</v>
      </c>
      <c r="O25" s="94">
        <v>66.301316</v>
      </c>
      <c r="P25" s="46">
        <f>(N25-O25)/N25</f>
        <v>0.213496735494973</v>
      </c>
    </row>
    <row r="26" spans="1:16">
      <c r="A26" s="26"/>
      <c r="B26" s="27" t="s">
        <v>17</v>
      </c>
      <c r="C26" s="28"/>
      <c r="D26" s="48">
        <v>2811.886396</v>
      </c>
      <c r="E26" s="49">
        <f>($C$21-D26)/$C$21</f>
        <v>0.12128550125</v>
      </c>
      <c r="F26" s="50"/>
      <c r="G26" s="48">
        <v>1761.944439</v>
      </c>
      <c r="H26" s="49">
        <f>($F$24-G26)/$F$21</f>
        <v>0.0900607447958826</v>
      </c>
      <c r="I26" s="50">
        <v>674.713658</v>
      </c>
      <c r="J26" s="48">
        <v>595.941957</v>
      </c>
      <c r="K26" s="49">
        <f>(I26-J26)/I26</f>
        <v>0.116748342153761</v>
      </c>
      <c r="L26" s="96"/>
      <c r="M26" s="97" t="s">
        <v>21</v>
      </c>
      <c r="N26" s="98">
        <v>110.669908</v>
      </c>
      <c r="O26" s="48">
        <v>97.74938</v>
      </c>
      <c r="P26" s="49">
        <f>(N26-O26)/N26</f>
        <v>0.116748339575741</v>
      </c>
    </row>
  </sheetData>
  <mergeCells count="30">
    <mergeCell ref="A1:B1"/>
    <mergeCell ref="C1:E1"/>
    <mergeCell ref="F1:H1"/>
    <mergeCell ref="I1:K1"/>
    <mergeCell ref="N1:P1"/>
    <mergeCell ref="A10:B10"/>
    <mergeCell ref="C10:E10"/>
    <mergeCell ref="F10:H10"/>
    <mergeCell ref="I10:K10"/>
    <mergeCell ref="N10:P10"/>
    <mergeCell ref="A19:B19"/>
    <mergeCell ref="C19:E19"/>
    <mergeCell ref="F19:H19"/>
    <mergeCell ref="I19:K19"/>
    <mergeCell ref="N19:P19"/>
    <mergeCell ref="A3:A5"/>
    <mergeCell ref="A6:A8"/>
    <mergeCell ref="A12:A14"/>
    <mergeCell ref="A15:A17"/>
    <mergeCell ref="A21:A23"/>
    <mergeCell ref="A24:A26"/>
    <mergeCell ref="L1:L2"/>
    <mergeCell ref="L3:L8"/>
    <mergeCell ref="L10:L11"/>
    <mergeCell ref="L12:L17"/>
    <mergeCell ref="L19:L20"/>
    <mergeCell ref="L21:L26"/>
    <mergeCell ref="M1:M2"/>
    <mergeCell ref="M10:M11"/>
    <mergeCell ref="M19:M20"/>
  </mergeCells>
  <pageMargins left="0.7" right="0.7" top="0.75" bottom="0.75" header="0.3" footer="0.3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All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Nguyễn Khoa</cp:lastModifiedBy>
  <dcterms:created xsi:type="dcterms:W3CDTF">2025-07-21T09:59:00Z</dcterms:created>
  <dcterms:modified xsi:type="dcterms:W3CDTF">2025-10-09T04:29:06Z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CB9ACDF485AD4BA8BEC45605E866A220_12</vt:lpwstr>
  </property>
  <property fmtid="{D5CDD505-2E9C-101B-9397-08002B2CF9AE}" pid="3" name="KSOProductBuildVer">
    <vt:lpwstr>1033-12.2.0.22549</vt:lpwstr>
  </property>
</Properties>
</file>