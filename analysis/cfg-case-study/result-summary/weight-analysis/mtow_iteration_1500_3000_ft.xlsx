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<sst xmlns="http://schemas.openxmlformats.org/spreadsheetml/2006/main" count="89" uniqueCount="22">
  <si>
    <t>Archer Midnight</t>
  </si>
  <si>
    <t>MTOW</t>
  </si>
  <si>
    <t>Empty Weight</t>
  </si>
  <si>
    <t>Battery Weight</t>
  </si>
  <si>
    <t>Payload
(kg)</t>
  </si>
  <si>
    <t>Battery Weight Fraction</t>
  </si>
  <si>
    <t>Total Mission Energy</t>
  </si>
  <si>
    <t>Altitude</t>
  </si>
  <si>
    <t>Mission Range</t>
  </si>
  <si>
    <t>Initial Guess
(kg)</t>
  </si>
  <si>
    <t>Final
(kg)</t>
  </si>
  <si>
    <t>% Difference</t>
  </si>
  <si>
    <t>Without Resizing
(kWh)</t>
  </si>
  <si>
    <t>With
Resizing
(kWh)</t>
  </si>
  <si>
    <t>1500 ft</t>
  </si>
  <si>
    <t>30 mi</t>
  </si>
  <si>
    <t>45 mi</t>
  </si>
  <si>
    <t>60 mi</t>
  </si>
  <si>
    <t>3000 ft</t>
  </si>
  <si>
    <t>Joby S4</t>
  </si>
  <si>
    <t>Supernal S-A2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</si>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</sst>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%"/>
    <numFmt numFmtId="180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8" applyNumberFormat="0" applyAlignment="0" applyProtection="0">
      <alignment vertical="center"/>
    </xf>
    <xf numFmtId="0" fontId="12" fillId="8" borderId="19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9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179" fontId="0" fillId="3" borderId="7" xfId="3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179" fontId="0" fillId="3" borderId="5" xfId="3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9" fontId="0" fillId="0" borderId="5" xfId="3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9" fontId="0" fillId="0" borderId="10" xfId="3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178" fontId="2" fillId="3" borderId="8" xfId="0" applyNumberFormat="1" applyFont="1" applyFill="1" applyBorder="1" applyAlignment="1">
      <alignment horizontal="center" vertical="center"/>
    </xf>
    <xf numFmtId="179" fontId="2" fillId="3" borderId="7" xfId="3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8" fontId="2" fillId="3" borderId="0" xfId="0" applyNumberFormat="1" applyFont="1" applyFill="1" applyBorder="1" applyAlignment="1">
      <alignment horizontal="center" vertical="center"/>
    </xf>
    <xf numFmtId="179" fontId="2" fillId="3" borderId="5" xfId="3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9" fontId="2" fillId="0" borderId="5" xfId="3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11" xfId="0" applyNumberFormat="1" applyFont="1" applyBorder="1" applyAlignment="1">
      <alignment horizontal="center" vertical="center"/>
    </xf>
    <xf numFmtId="179" fontId="2" fillId="0" borderId="10" xfId="3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9" fontId="0" fillId="3" borderId="6" xfId="3" applyFill="1" applyBorder="1" applyAlignment="1">
      <alignment horizontal="center" vertical="center"/>
    </xf>
    <xf numFmtId="180" fontId="0" fillId="3" borderId="6" xfId="0" applyNumberFormat="1" applyFill="1" applyBorder="1" applyAlignment="1">
      <alignment horizontal="center" vertical="center"/>
    </xf>
    <xf numFmtId="180" fontId="0" fillId="3" borderId="8" xfId="0" applyNumberFormat="1" applyFill="1" applyBorder="1" applyAlignment="1">
      <alignment horizontal="center" vertical="center"/>
    </xf>
    <xf numFmtId="9" fontId="0" fillId="3" borderId="4" xfId="3" applyFill="1" applyBorder="1" applyAlignment="1">
      <alignment horizontal="center" vertical="center"/>
    </xf>
    <xf numFmtId="180" fontId="0" fillId="3" borderId="4" xfId="0" applyNumberFormat="1" applyFill="1" applyBorder="1" applyAlignment="1">
      <alignment horizontal="center" vertical="center"/>
    </xf>
    <xf numFmtId="180" fontId="0" fillId="3" borderId="0" xfId="0" applyNumberFormat="1" applyFill="1" applyBorder="1" applyAlignment="1">
      <alignment horizontal="center" vertical="center"/>
    </xf>
    <xf numFmtId="9" fontId="0" fillId="0" borderId="4" xfId="3" applyFill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9" fontId="0" fillId="0" borderId="9" xfId="3" applyFill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9" fontId="0" fillId="3" borderId="12" xfId="3" applyFill="1" applyBorder="1" applyAlignment="1">
      <alignment horizontal="center" vertical="center"/>
    </xf>
    <xf numFmtId="9" fontId="0" fillId="3" borderId="14" xfId="3" applyFill="1" applyBorder="1" applyAlignment="1">
      <alignment horizontal="center" vertical="center"/>
    </xf>
    <xf numFmtId="9" fontId="0" fillId="0" borderId="14" xfId="3" applyFill="1" applyBorder="1" applyAlignment="1">
      <alignment horizontal="center" vertical="center"/>
    </xf>
    <xf numFmtId="9" fontId="0" fillId="0" borderId="13" xfId="3" applyFill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 wrapText="1"/>
    </xf>
    <xf numFmtId="178" fontId="0" fillId="0" borderId="8" xfId="0" applyNumberFormat="1" applyFont="1" applyFill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9" fontId="2" fillId="3" borderId="12" xfId="3" applyFont="1" applyFill="1" applyBorder="1" applyAlignment="1">
      <alignment horizontal="center" vertical="center"/>
    </xf>
    <xf numFmtId="180" fontId="2" fillId="3" borderId="6" xfId="0" applyNumberFormat="1" applyFont="1" applyFill="1" applyBorder="1" applyAlignment="1">
      <alignment horizontal="center" vertical="center"/>
    </xf>
    <xf numFmtId="180" fontId="2" fillId="3" borderId="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2" fillId="3" borderId="14" xfId="3" applyFont="1" applyFill="1" applyBorder="1" applyAlignment="1">
      <alignment horizontal="center" vertical="center"/>
    </xf>
    <xf numFmtId="180" fontId="2" fillId="3" borderId="4" xfId="0" applyNumberFormat="1" applyFont="1" applyFill="1" applyBorder="1" applyAlignment="1">
      <alignment horizontal="center" vertical="center"/>
    </xf>
    <xf numFmtId="180" fontId="2" fillId="3" borderId="0" xfId="0" applyNumberFormat="1" applyFont="1" applyFill="1" applyBorder="1" applyAlignment="1">
      <alignment horizontal="center" vertical="center"/>
    </xf>
    <xf numFmtId="178" fontId="2" fillId="3" borderId="5" xfId="0" applyNumberFormat="1" applyFont="1" applyFill="1" applyBorder="1" applyAlignment="1">
      <alignment horizontal="center" vertical="center"/>
    </xf>
    <xf numFmtId="9" fontId="2" fillId="0" borderId="14" xfId="3" applyFont="1" applyFill="1" applyBorder="1" applyAlignment="1">
      <alignment horizontal="center" vertical="center"/>
    </xf>
    <xf numFmtId="180" fontId="2" fillId="0" borderId="4" xfId="0" applyNumberFormat="1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80" fontId="2" fillId="0" borderId="9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Converged MTOW vs. Mission Range: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Archer Midnight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"1500 ft"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All!$D$3:$D$5</c:f>
              <c:numCache>
                <c:formatCode>0.0_ </c:formatCode>
                <c:ptCount val="3"/>
                <c:pt idx="0">
                  <c:v>1996.620209</c:v>
                </c:pt>
                <c:pt idx="1">
                  <c:v>2235.493802</c:v>
                </c:pt>
                <c:pt idx="2">
                  <c:v>2513.157296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"3000 ft"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All!$D$6:$D$8</c:f>
              <c:numCache>
                <c:formatCode>0.0_ </c:formatCode>
                <c:ptCount val="3"/>
                <c:pt idx="0">
                  <c:v>1950.771295</c:v>
                </c:pt>
                <c:pt idx="1">
                  <c:v>2187.139554</c:v>
                </c:pt>
                <c:pt idx="2">
                  <c:v>2464.598446</c:v>
                </c:pt>
              </c:numCache>
            </c:numRef>
          </c:val>
          <c:smooth val="0"/>
        </c:ser>
        <c:ser>
          <c:idx val="2"/>
          <c:order val="2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  <a:sp3d contourW="19050"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3175.0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0431547461107277"/>
                  <c:y val="0.0004226444304871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Initial Guess MTOW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All!$C$3:$C$5</c:f>
              <c:numCache>
                <c:formatCode>0.0_ </c:formatCode>
                <c:ptCount val="3"/>
                <c:pt idx="0">
                  <c:v>3175</c:v>
                </c:pt>
                <c:pt idx="1">
                  <c:v>3175</c:v>
                </c:pt>
                <c:pt idx="2">
                  <c:v>3175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7224400"/>
        <c:axId val="766602742"/>
      </c:lineChart>
      <c:catAx>
        <c:axId val="757224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Mission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426144140290847"/>
              <c:y val="0.81812366737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742"/>
        <c:crosses val="autoZero"/>
        <c:auto val="1"/>
        <c:lblAlgn val="ctr"/>
        <c:lblOffset val="100"/>
        <c:noMultiLvlLbl val="0"/>
      </c:catAx>
      <c:valAx>
        <c:axId val="766602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Converged MTOW (kg)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45423438836612"/>
              <c:y val="0.2475856821501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44b227-a188-472c-8a21-ec7b862a52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Converged MTOW vs. Mission Range: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Joby S4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"1500 ft"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93209302325581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277510940335148"/>
                  <c:y val="0.1099534883720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402390863485964"/>
                  <c:y val="0.024372093023255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All!$D$12:$D$14</c:f>
              <c:numCache>
                <c:formatCode>0.0_ </c:formatCode>
                <c:ptCount val="3"/>
                <c:pt idx="0">
                  <c:v>2162.937494</c:v>
                </c:pt>
                <c:pt idx="1">
                  <c:v>2452.940713</c:v>
                </c:pt>
                <c:pt idx="2">
                  <c:v>2943.305948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"3000 ft"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All!$D$15:$D$17</c:f>
              <c:numCache>
                <c:formatCode>0.0_ </c:formatCode>
                <c:ptCount val="3"/>
                <c:pt idx="0">
                  <c:v>2198.959553</c:v>
                </c:pt>
                <c:pt idx="1">
                  <c:v>2543.509509</c:v>
                </c:pt>
                <c:pt idx="2">
                  <c:v>3477.80928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"="</c:f>
              <c:strCache>
                <c:ptCount val="1"/>
                <c:pt idx="0">
                  <c:v>=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  <a:sp3d contourW="19050"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>
                <c:manualLayout>
                  <c:x val="0"/>
                  <c:y val="0.011472982975573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2404.0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All!$C$12:$C$14</c:f>
              <c:numCache>
                <c:formatCode>0.0_ </c:formatCode>
                <c:ptCount val="3"/>
                <c:pt idx="0">
                  <c:v>2404</c:v>
                </c:pt>
                <c:pt idx="1">
                  <c:v>2404</c:v>
                </c:pt>
                <c:pt idx="2">
                  <c:v>2404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7224400"/>
        <c:axId val="766602742"/>
      </c:lineChart>
      <c:catAx>
        <c:axId val="757224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Mission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426144140290847"/>
              <c:y val="0.81812366737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742"/>
        <c:crosses val="autoZero"/>
        <c:auto val="1"/>
        <c:lblAlgn val="ctr"/>
        <c:lblOffset val="100"/>
        <c:noMultiLvlLbl val="0"/>
      </c:catAx>
      <c:valAx>
        <c:axId val="766602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Converged MTOW (kg)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30486919045724"/>
              <c:y val="0.2502491393172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138103-58dd-457f-a3b0-ba3efa4712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Converged MTOW vs. Mission Range: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Supernal A-S2</a:t>
            </a:r>
          </a:p>
        </c:rich>
      </c:tx>
      <c:layout>
        <c:manualLayout>
          <c:xMode val="edge"/>
          <c:yMode val="edge"/>
          <c:x val="0.296916675557452"/>
          <c:y val="0.0252734817050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"1500 ft"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0.0408148209869491"/>
                  <c:y val="0.01985682276818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All!$D$21:$D$23</c:f>
              <c:numCache>
                <c:formatCode>0.0_ </c:formatCode>
                <c:ptCount val="3"/>
                <c:pt idx="0">
                  <c:v>2360.896884</c:v>
                </c:pt>
                <c:pt idx="1">
                  <c:v>2685.365615</c:v>
                </c:pt>
                <c:pt idx="2">
                  <c:v>3102.265746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"3000 ft"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624546990127725"/>
                  <c:y val="-0.0147532107013209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236018471010775"/>
                  <c:y val="-0.0189504373177843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All!$D$24:$D$26</c:f>
              <c:numCache>
                <c:formatCode>0.0_ </c:formatCode>
                <c:ptCount val="3"/>
                <c:pt idx="0">
                  <c:v>2309.635714</c:v>
                </c:pt>
                <c:pt idx="1">
                  <c:v>2630.41992</c:v>
                </c:pt>
                <c:pt idx="2">
                  <c:v>3050.592523</c:v>
                </c:pt>
              </c:numCache>
            </c:numRef>
          </c:val>
          <c:smooth val="0"/>
        </c:ser>
        <c:ser>
          <c:idx val="2"/>
          <c:order val="2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  <a:sp3d contourW="19050"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>
                <c:manualLayout>
                  <c:x val="-0.0321164757520608"/>
                  <c:y val="-0.0332717190388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38539770902473"/>
                  <c:y val="-0.051016635859519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Initial Guess MTOW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All!$C$21:$C$23</c:f>
              <c:numCache>
                <c:formatCode>0.0_ </c:formatCode>
                <c:ptCount val="3"/>
                <c:pt idx="0">
                  <c:v>3350</c:v>
                </c:pt>
                <c:pt idx="1">
                  <c:v>3350</c:v>
                </c:pt>
                <c:pt idx="2">
                  <c:v>3350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7224400"/>
        <c:axId val="766602742"/>
      </c:lineChart>
      <c:catAx>
        <c:axId val="757224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Mission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426144140290847"/>
              <c:y val="0.81812366737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742"/>
        <c:crosses val="autoZero"/>
        <c:auto val="1"/>
        <c:lblAlgn val="ctr"/>
        <c:lblOffset val="100"/>
        <c:noMultiLvlLbl val="0"/>
      </c:catAx>
      <c:valAx>
        <c:axId val="766602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Converged MTOW (kg)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45423438836612"/>
              <c:y val="0.2398272112381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138103-58dd-457f-a3b0-ba3efa4712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252095</xdr:colOff>
      <xdr:row>0</xdr:row>
      <xdr:rowOff>133350</xdr:rowOff>
    </xdr:from>
    <xdr:to>
      <xdr:col>27</xdr:col>
      <xdr:colOff>18415</xdr:colOff>
      <xdr:row>10</xdr:row>
      <xdr:rowOff>413385</xdr:rowOff>
    </xdr:to>
    <xdr:graphicFrame>
      <xdr:nvGraphicFramePr>
        <xdr:cNvPr id="3" name="Chart 2"/>
        <xdr:cNvGraphicFramePr/>
      </xdr:nvGraphicFramePr>
      <xdr:xfrm>
        <a:off x="13206095" y="133350"/>
        <a:ext cx="5938520" cy="3434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281940</xdr:colOff>
      <xdr:row>11</xdr:row>
      <xdr:rowOff>120015</xdr:rowOff>
    </xdr:from>
    <xdr:to>
      <xdr:col>27</xdr:col>
      <xdr:colOff>48260</xdr:colOff>
      <xdr:row>24</xdr:row>
      <xdr:rowOff>62230</xdr:rowOff>
    </xdr:to>
    <xdr:graphicFrame>
      <xdr:nvGraphicFramePr>
        <xdr:cNvPr id="4" name="Chart 3"/>
        <xdr:cNvGraphicFramePr/>
      </xdr:nvGraphicFramePr>
      <xdr:xfrm>
        <a:off x="13235940" y="3909695"/>
        <a:ext cx="5938520" cy="3429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264160</xdr:colOff>
      <xdr:row>26</xdr:row>
      <xdr:rowOff>13970</xdr:rowOff>
    </xdr:from>
    <xdr:to>
      <xdr:col>27</xdr:col>
      <xdr:colOff>23495</xdr:colOff>
      <xdr:row>44</xdr:row>
      <xdr:rowOff>157480</xdr:rowOff>
    </xdr:to>
    <xdr:graphicFrame>
      <xdr:nvGraphicFramePr>
        <xdr:cNvPr id="5" name="Chart 4"/>
        <xdr:cNvGraphicFramePr/>
      </xdr:nvGraphicFramePr>
      <xdr:xfrm>
        <a:off x="13218160" y="7656830"/>
        <a:ext cx="5931535" cy="343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0.788623214237596</cdr:x>
      <cdr:y>0.33717611758958</cdr:y>
    </cdr:from>
    <cdr:to>
      <cdr:x>0.998862048981089</cdr:x>
      <cdr:y>0.398005610677138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4675242" y="1157033"/>
          <a:ext cx="1246371" cy="208739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sz="1000">
              <a:solidFill>
                <a:srgbClr val="FF0000"/>
              </a:solidFill>
            </a:rPr>
            <a:t>Initial Guess MTOW</a:t>
          </a:r>
          <a:endParaRPr lang="en-US" sz="10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70" zoomScaleNormal="70" workbookViewId="0">
      <selection activeCell="G33" sqref="G33"/>
    </sheetView>
  </sheetViews>
  <sheetFormatPr defaultColWidth="9" defaultRowHeight="14.4"/>
  <cols>
    <col min="1" max="1" width="10.7777777777778" style="2" customWidth="1"/>
    <col min="2" max="2" width="15.7777777777778" style="2" customWidth="1"/>
    <col min="3" max="11" width="12.7777777777778" style="2" customWidth="1"/>
    <col min="12" max="13" width="12.7777777777778" style="2" hidden="1" customWidth="1"/>
    <col min="14" max="16" width="12.7777777777778" style="2" customWidth="1"/>
    <col min="17" max="16383" width="9" style="2"/>
  </cols>
  <sheetData>
    <row r="1" ht="31" customHeight="1" spans="1:16">
      <c r="A1" s="3" t="s">
        <v>0</v>
      </c>
      <c r="B1" s="4"/>
      <c r="C1" s="5" t="s">
        <v>1</v>
      </c>
      <c r="D1" s="6"/>
      <c r="E1" s="7"/>
      <c r="F1" s="5" t="s">
        <v>2</v>
      </c>
      <c r="G1" s="6"/>
      <c r="H1" s="7"/>
      <c r="I1" s="5" t="s">
        <v>3</v>
      </c>
      <c r="J1" s="6"/>
      <c r="K1" s="7"/>
      <c r="L1" s="50" t="s">
        <v>4</v>
      </c>
      <c r="M1" s="51" t="s">
        <v>5</v>
      </c>
      <c r="N1" s="52" t="s">
        <v>6</v>
      </c>
      <c r="O1" s="53"/>
      <c r="P1" s="54"/>
    </row>
    <row r="2" s="1" customFormat="1" ht="50" customHeight="1" spans="1:16">
      <c r="A2" s="8" t="s">
        <v>7</v>
      </c>
      <c r="B2" s="9" t="s">
        <v>8</v>
      </c>
      <c r="C2" s="8" t="s">
        <v>9</v>
      </c>
      <c r="D2" s="10" t="s">
        <v>10</v>
      </c>
      <c r="E2" s="9" t="s">
        <v>11</v>
      </c>
      <c r="F2" s="8" t="s">
        <v>9</v>
      </c>
      <c r="G2" s="10" t="s">
        <v>10</v>
      </c>
      <c r="H2" s="9" t="s">
        <v>11</v>
      </c>
      <c r="I2" s="8" t="s">
        <v>9</v>
      </c>
      <c r="J2" s="10" t="s">
        <v>10</v>
      </c>
      <c r="K2" s="9" t="s">
        <v>11</v>
      </c>
      <c r="L2" s="9"/>
      <c r="M2" s="55"/>
      <c r="N2" s="56" t="s">
        <v>12</v>
      </c>
      <c r="O2" s="57" t="s">
        <v>13</v>
      </c>
      <c r="P2" s="58" t="s">
        <v>11</v>
      </c>
    </row>
    <row r="3" spans="1:16">
      <c r="A3" s="11" t="s">
        <v>14</v>
      </c>
      <c r="B3" s="12" t="s">
        <v>15</v>
      </c>
      <c r="C3" s="13">
        <v>3175</v>
      </c>
      <c r="D3" s="14">
        <v>1996.620209</v>
      </c>
      <c r="E3" s="15">
        <f>($C$3-D3)/$C$3</f>
        <v>0.371143241259843</v>
      </c>
      <c r="F3" s="13">
        <v>1703.412939</v>
      </c>
      <c r="G3" s="14">
        <v>1254.541359</v>
      </c>
      <c r="H3" s="15">
        <f>($F$3-G3)/$F$3</f>
        <v>0.263513074089664</v>
      </c>
      <c r="I3" s="13">
        <v>404.979995</v>
      </c>
      <c r="J3" s="14">
        <v>288.07885</v>
      </c>
      <c r="K3" s="15">
        <f t="shared" ref="K3:K8" si="0">(I3-J3)/I3</f>
        <v>0.288659060801263</v>
      </c>
      <c r="L3" s="59">
        <v>454</v>
      </c>
      <c r="M3" s="60">
        <f>J3/D3</f>
        <v>0.144283248612556</v>
      </c>
      <c r="N3" s="61">
        <v>66.426844</v>
      </c>
      <c r="O3" s="62">
        <v>47.252133</v>
      </c>
      <c r="P3" s="15">
        <f>(N3-O3)/N3</f>
        <v>0.28865906981822</v>
      </c>
    </row>
    <row r="4" spans="1:16">
      <c r="A4" s="16"/>
      <c r="B4" s="17" t="s">
        <v>16</v>
      </c>
      <c r="C4" s="18">
        <v>3175</v>
      </c>
      <c r="D4" s="19">
        <v>2235.493802</v>
      </c>
      <c r="E4" s="20">
        <f>($C$3-D4)/$C$3</f>
        <v>0.295907463937008</v>
      </c>
      <c r="F4" s="18"/>
      <c r="G4" s="19">
        <v>1341.129892</v>
      </c>
      <c r="H4" s="20">
        <f>($F$3-G4)/$F$3</f>
        <v>0.212680694566451</v>
      </c>
      <c r="I4" s="18">
        <v>567.588913</v>
      </c>
      <c r="J4" s="19">
        <v>440.36391</v>
      </c>
      <c r="K4" s="20">
        <f t="shared" si="0"/>
        <v>0.224149908650524</v>
      </c>
      <c r="L4" s="22"/>
      <c r="M4" s="63">
        <f>J4/D4</f>
        <v>0.1969873097416</v>
      </c>
      <c r="N4" s="64">
        <v>93.098771</v>
      </c>
      <c r="O4" s="65">
        <v>72.23069</v>
      </c>
      <c r="P4" s="20">
        <f>(N4-O4)/N4</f>
        <v>0.224149908488051</v>
      </c>
    </row>
    <row r="5" spans="1:16">
      <c r="A5" s="16"/>
      <c r="B5" s="17" t="s">
        <v>17</v>
      </c>
      <c r="C5" s="18">
        <v>3175</v>
      </c>
      <c r="D5" s="19">
        <v>2513.157296</v>
      </c>
      <c r="E5" s="20">
        <f>($C$3-D5)/$C$3</f>
        <v>0.20845439496063</v>
      </c>
      <c r="F5" s="18"/>
      <c r="G5" s="19">
        <v>1444.524041</v>
      </c>
      <c r="H5" s="20">
        <f>($F$3-G5)/$F$3</f>
        <v>0.151982465362734</v>
      </c>
      <c r="I5" s="18">
        <v>730.197831</v>
      </c>
      <c r="J5" s="19">
        <v>614.633255</v>
      </c>
      <c r="K5" s="20">
        <f t="shared" si="0"/>
        <v>0.158264748392549</v>
      </c>
      <c r="L5" s="22"/>
      <c r="M5" s="63">
        <f>J5/D5</f>
        <v>0.244566170202822</v>
      </c>
      <c r="N5" s="64">
        <v>119.770699</v>
      </c>
      <c r="O5" s="65">
        <v>100.81522</v>
      </c>
      <c r="P5" s="20">
        <f>(N5-O5)/N5</f>
        <v>0.158264743866945</v>
      </c>
    </row>
    <row r="6" spans="1:16">
      <c r="A6" s="21" t="s">
        <v>18</v>
      </c>
      <c r="B6" s="22" t="s">
        <v>15</v>
      </c>
      <c r="C6" s="23"/>
      <c r="D6" s="24">
        <v>1950.771295</v>
      </c>
      <c r="E6" s="25">
        <f>($C$3-D6)/$C$3</f>
        <v>0.385583844094488</v>
      </c>
      <c r="F6" s="23">
        <v>1711.972412</v>
      </c>
      <c r="G6" s="24">
        <v>1240.87131</v>
      </c>
      <c r="H6" s="25">
        <f>($F$6-G6)/$F$3</f>
        <v>0.27656306419544</v>
      </c>
      <c r="I6" s="23">
        <v>394.973689</v>
      </c>
      <c r="J6" s="24">
        <v>255.899985</v>
      </c>
      <c r="K6" s="25">
        <f t="shared" si="0"/>
        <v>0.352108780592724</v>
      </c>
      <c r="L6" s="22"/>
      <c r="M6" s="66">
        <f>J6/D6</f>
        <v>0.131178875584183</v>
      </c>
      <c r="N6" s="67">
        <v>64.785559</v>
      </c>
      <c r="O6" s="68">
        <v>41.973995</v>
      </c>
      <c r="P6" s="25">
        <f>(N6-O6)/N6</f>
        <v>0.352108777821922</v>
      </c>
    </row>
    <row r="7" spans="1:16">
      <c r="A7" s="21"/>
      <c r="B7" s="22" t="s">
        <v>16</v>
      </c>
      <c r="C7" s="23"/>
      <c r="D7" s="24">
        <v>2187.139554</v>
      </c>
      <c r="E7" s="25">
        <f>($C$3-D7)/$C$3</f>
        <v>0.311137148346457</v>
      </c>
      <c r="F7" s="23"/>
      <c r="G7" s="24">
        <v>1327.044665</v>
      </c>
      <c r="H7" s="25">
        <f>($F$6-G7)/$F$3</f>
        <v>0.225974417704009</v>
      </c>
      <c r="I7" s="23">
        <v>555.708601</v>
      </c>
      <c r="J7" s="24">
        <v>406.094889</v>
      </c>
      <c r="K7" s="25">
        <f t="shared" si="0"/>
        <v>0.269230513493528</v>
      </c>
      <c r="L7" s="22"/>
      <c r="M7" s="66">
        <f t="shared" ref="M7:M17" si="1">J7/D7</f>
        <v>0.185673972315714</v>
      </c>
      <c r="N7" s="67">
        <v>91.150103</v>
      </c>
      <c r="O7" s="68">
        <v>66.609714</v>
      </c>
      <c r="P7" s="25">
        <f t="shared" ref="P7:P15" si="2">(N7-O7)/N7</f>
        <v>0.269230513102108</v>
      </c>
    </row>
    <row r="8" spans="1:16">
      <c r="A8" s="26"/>
      <c r="B8" s="27" t="s">
        <v>17</v>
      </c>
      <c r="C8" s="28"/>
      <c r="D8" s="29">
        <v>2464.598446</v>
      </c>
      <c r="E8" s="30">
        <f>($C$3-D8)/$C$3</f>
        <v>0.223748520944882</v>
      </c>
      <c r="F8" s="28"/>
      <c r="G8" s="29">
        <v>1431.040073</v>
      </c>
      <c r="H8" s="30">
        <f>($F$6-G8)/$F$3</f>
        <v>0.164923215368391</v>
      </c>
      <c r="I8" s="28">
        <v>716.443513</v>
      </c>
      <c r="J8" s="29">
        <v>579.558373</v>
      </c>
      <c r="K8" s="30">
        <f t="shared" si="0"/>
        <v>0.191062013286734</v>
      </c>
      <c r="L8" s="27"/>
      <c r="M8" s="69">
        <f t="shared" si="1"/>
        <v>0.235153265612341</v>
      </c>
      <c r="N8" s="70">
        <v>117.514647</v>
      </c>
      <c r="O8" s="71">
        <v>95.062062</v>
      </c>
      <c r="P8" s="30">
        <f t="shared" si="2"/>
        <v>0.19106201289104</v>
      </c>
    </row>
    <row r="9" ht="50" customHeight="1" spans="3:15">
      <c r="C9" s="31"/>
      <c r="D9" s="31"/>
      <c r="E9" s="31"/>
      <c r="F9" s="31"/>
      <c r="G9" s="31"/>
      <c r="H9" s="31"/>
      <c r="I9" s="31"/>
      <c r="J9" s="31"/>
      <c r="K9" s="31"/>
      <c r="N9" s="72"/>
      <c r="O9" s="72"/>
    </row>
    <row r="10" ht="31" customHeight="1" spans="1:16">
      <c r="A10" s="3" t="s">
        <v>19</v>
      </c>
      <c r="B10" s="4"/>
      <c r="C10" s="32" t="s">
        <v>1</v>
      </c>
      <c r="D10" s="33"/>
      <c r="E10" s="34"/>
      <c r="F10" s="32" t="s">
        <v>2</v>
      </c>
      <c r="G10" s="33"/>
      <c r="H10" s="34"/>
      <c r="I10" s="32" t="s">
        <v>3</v>
      </c>
      <c r="J10" s="33"/>
      <c r="K10" s="34"/>
      <c r="L10" s="50" t="s">
        <v>4</v>
      </c>
      <c r="M10" s="73" t="s">
        <v>5</v>
      </c>
      <c r="N10" s="52" t="s">
        <v>6</v>
      </c>
      <c r="O10" s="53"/>
      <c r="P10" s="54"/>
    </row>
    <row r="11" s="1" customFormat="1" ht="50" customHeight="1" spans="1:16">
      <c r="A11" s="8" t="s">
        <v>7</v>
      </c>
      <c r="B11" s="9" t="s">
        <v>8</v>
      </c>
      <c r="C11" s="35" t="s">
        <v>9</v>
      </c>
      <c r="D11" s="36" t="s">
        <v>10</v>
      </c>
      <c r="E11" s="37" t="s">
        <v>11</v>
      </c>
      <c r="F11" s="35" t="s">
        <v>9</v>
      </c>
      <c r="G11" s="36" t="s">
        <v>10</v>
      </c>
      <c r="H11" s="37" t="s">
        <v>11</v>
      </c>
      <c r="I11" s="35" t="s">
        <v>9</v>
      </c>
      <c r="J11" s="36" t="s">
        <v>10</v>
      </c>
      <c r="K11" s="37" t="s">
        <v>11</v>
      </c>
      <c r="L11" s="9"/>
      <c r="M11" s="74"/>
      <c r="N11" s="56" t="s">
        <v>12</v>
      </c>
      <c r="O11" s="57" t="s">
        <v>13</v>
      </c>
      <c r="P11" s="58" t="s">
        <v>11</v>
      </c>
    </row>
    <row r="12" spans="1:16">
      <c r="A12" s="11" t="s">
        <v>14</v>
      </c>
      <c r="B12" s="12" t="s">
        <v>15</v>
      </c>
      <c r="C12" s="13">
        <v>2404</v>
      </c>
      <c r="D12" s="14">
        <v>2162.937494</v>
      </c>
      <c r="E12" s="15">
        <f t="shared" ref="E12:E17" si="3">($C$12-D12)/$C$12</f>
        <v>0.100275584858569</v>
      </c>
      <c r="F12" s="13">
        <v>1591.091189</v>
      </c>
      <c r="G12" s="14">
        <v>1469.137083</v>
      </c>
      <c r="H12" s="15">
        <f t="shared" ref="H12:H17" si="4">($F$12-G12)/$F$12</f>
        <v>0.0766480933607885</v>
      </c>
      <c r="I12" s="13">
        <v>271.24277</v>
      </c>
      <c r="J12" s="14">
        <v>239.800411</v>
      </c>
      <c r="K12" s="15">
        <f t="shared" ref="K12:K17" si="5">(I12-J12)/I12</f>
        <v>0.115919620640948</v>
      </c>
      <c r="L12" s="59">
        <v>454</v>
      </c>
      <c r="M12" s="75">
        <f t="shared" si="1"/>
        <v>0.110867933847006</v>
      </c>
      <c r="N12" s="61">
        <v>44.490595</v>
      </c>
      <c r="O12" s="62">
        <v>39.333262</v>
      </c>
      <c r="P12" s="15">
        <f t="shared" si="2"/>
        <v>0.115919623012459</v>
      </c>
    </row>
    <row r="13" spans="1:16">
      <c r="A13" s="16"/>
      <c r="B13" s="17" t="s">
        <v>16</v>
      </c>
      <c r="C13" s="18">
        <v>2404</v>
      </c>
      <c r="D13" s="19">
        <v>2452.940713</v>
      </c>
      <c r="E13" s="20">
        <f t="shared" si="3"/>
        <v>-0.0203580336938436</v>
      </c>
      <c r="F13" s="18"/>
      <c r="G13" s="19">
        <v>1616.371056</v>
      </c>
      <c r="H13" s="20">
        <f t="shared" si="4"/>
        <v>-0.0158883835035806</v>
      </c>
      <c r="I13" s="18">
        <v>373.596592</v>
      </c>
      <c r="J13" s="19">
        <v>382.569657</v>
      </c>
      <c r="K13" s="20">
        <f t="shared" si="5"/>
        <v>-0.0240180590298319</v>
      </c>
      <c r="L13" s="22"/>
      <c r="M13" s="76">
        <f t="shared" si="1"/>
        <v>0.155963678605224</v>
      </c>
      <c r="N13" s="64">
        <v>61.279181</v>
      </c>
      <c r="O13" s="65">
        <v>62.750988</v>
      </c>
      <c r="P13" s="20">
        <f t="shared" si="2"/>
        <v>-0.0240180592491926</v>
      </c>
    </row>
    <row r="14" spans="1:16">
      <c r="A14" s="16"/>
      <c r="B14" s="17" t="s">
        <v>17</v>
      </c>
      <c r="C14" s="18">
        <v>2404</v>
      </c>
      <c r="D14" s="19">
        <v>2943.305948</v>
      </c>
      <c r="E14" s="20">
        <f t="shared" si="3"/>
        <v>-0.224336916805325</v>
      </c>
      <c r="F14" s="18"/>
      <c r="G14" s="19">
        <v>1879.331607</v>
      </c>
      <c r="H14" s="20">
        <f t="shared" si="4"/>
        <v>-0.181158955560026</v>
      </c>
      <c r="I14" s="18">
        <v>475.950413</v>
      </c>
      <c r="J14" s="19">
        <v>609.974341</v>
      </c>
      <c r="K14" s="20">
        <f t="shared" si="5"/>
        <v>-0.281592208640441</v>
      </c>
      <c r="L14" s="22"/>
      <c r="M14" s="76">
        <f t="shared" si="1"/>
        <v>0.207241228664822</v>
      </c>
      <c r="N14" s="64">
        <v>78.067767</v>
      </c>
      <c r="O14" s="65">
        <v>100.051041</v>
      </c>
      <c r="P14" s="20">
        <f t="shared" si="2"/>
        <v>-0.28159219668727</v>
      </c>
    </row>
    <row r="15" spans="1:16">
      <c r="A15" s="21" t="s">
        <v>18</v>
      </c>
      <c r="B15" s="22" t="s">
        <v>15</v>
      </c>
      <c r="C15" s="23"/>
      <c r="D15" s="24">
        <v>2198.959553</v>
      </c>
      <c r="E15" s="25">
        <f t="shared" si="3"/>
        <v>0.0852913673044925</v>
      </c>
      <c r="F15" s="23">
        <v>1598.597648</v>
      </c>
      <c r="G15" s="24">
        <v>1493.444341</v>
      </c>
      <c r="H15" s="25">
        <f>($F$15-G15)/$F$12</f>
        <v>0.0660887997664602</v>
      </c>
      <c r="I15" s="23">
        <v>284.14732</v>
      </c>
      <c r="J15" s="24">
        <v>251.515212</v>
      </c>
      <c r="K15" s="25">
        <f t="shared" si="5"/>
        <v>0.11484221635453</v>
      </c>
      <c r="L15" s="22"/>
      <c r="M15" s="77">
        <f t="shared" si="1"/>
        <v>0.114379189765843</v>
      </c>
      <c r="N15" s="67">
        <v>46.607264</v>
      </c>
      <c r="O15" s="68">
        <v>41.254783</v>
      </c>
      <c r="P15" s="25">
        <f t="shared" si="2"/>
        <v>0.114842205712826</v>
      </c>
    </row>
    <row r="16" spans="1:16">
      <c r="A16" s="21"/>
      <c r="B16" s="22" t="s">
        <v>16</v>
      </c>
      <c r="C16" s="23"/>
      <c r="D16" s="24">
        <v>2543.509509</v>
      </c>
      <c r="E16" s="25">
        <f t="shared" si="3"/>
        <v>-0.0580322416805324</v>
      </c>
      <c r="F16" s="23"/>
      <c r="G16" s="24">
        <v>1671.959828</v>
      </c>
      <c r="H16" s="25">
        <f>($F$15-G16)/$F$12</f>
        <v>-0.0461080926770188</v>
      </c>
      <c r="I16" s="23">
        <v>387.095037</v>
      </c>
      <c r="J16" s="24">
        <v>417.549681</v>
      </c>
      <c r="K16" s="25">
        <f t="shared" si="5"/>
        <v>-0.0786748500730585</v>
      </c>
      <c r="L16" s="22"/>
      <c r="M16" s="77">
        <f t="shared" si="1"/>
        <v>0.164162815009157</v>
      </c>
      <c r="N16" s="67">
        <v>63.493263</v>
      </c>
      <c r="O16" s="68">
        <v>68.488586</v>
      </c>
      <c r="P16" s="25">
        <f t="shared" ref="P16:P26" si="6">(N16-O16)/N16</f>
        <v>-0.078674850905048</v>
      </c>
    </row>
    <row r="17" spans="1:16">
      <c r="A17" s="26"/>
      <c r="B17" s="27" t="s">
        <v>17</v>
      </c>
      <c r="C17" s="28"/>
      <c r="D17" s="29">
        <v>3477.80928</v>
      </c>
      <c r="E17" s="30">
        <f t="shared" si="3"/>
        <v>-0.446676073211314</v>
      </c>
      <c r="F17" s="28"/>
      <c r="G17" s="29">
        <v>2200.864315</v>
      </c>
      <c r="H17" s="30">
        <f>($F$15-G17)/$F$12</f>
        <v>-0.378524292739327</v>
      </c>
      <c r="I17" s="28">
        <v>490.042754</v>
      </c>
      <c r="J17" s="29">
        <v>822.944966</v>
      </c>
      <c r="K17" s="30">
        <f t="shared" si="5"/>
        <v>-0.679332995504307</v>
      </c>
      <c r="L17" s="27"/>
      <c r="M17" s="78">
        <f t="shared" si="1"/>
        <v>0.236627399533536</v>
      </c>
      <c r="N17" s="70">
        <v>80.379263</v>
      </c>
      <c r="O17" s="71">
        <v>134.983548</v>
      </c>
      <c r="P17" s="30">
        <f t="shared" si="6"/>
        <v>-0.679332989156669</v>
      </c>
    </row>
    <row r="18" ht="50" customHeight="1" spans="3:15">
      <c r="C18" s="31"/>
      <c r="D18" s="31"/>
      <c r="E18" s="31"/>
      <c r="F18" s="31"/>
      <c r="G18" s="31"/>
      <c r="H18" s="31"/>
      <c r="I18" s="31"/>
      <c r="J18" s="31"/>
      <c r="K18" s="31"/>
      <c r="N18" s="72"/>
      <c r="O18" s="72"/>
    </row>
    <row r="19" ht="31" customHeight="1" spans="1:16">
      <c r="A19" s="3" t="s">
        <v>20</v>
      </c>
      <c r="B19" s="4"/>
      <c r="C19" s="32" t="s">
        <v>1</v>
      </c>
      <c r="D19" s="33"/>
      <c r="E19" s="34"/>
      <c r="F19" s="32" t="s">
        <v>2</v>
      </c>
      <c r="G19" s="33"/>
      <c r="H19" s="34"/>
      <c r="I19" s="32" t="s">
        <v>3</v>
      </c>
      <c r="J19" s="33"/>
      <c r="K19" s="34"/>
      <c r="L19" s="50" t="s">
        <v>4</v>
      </c>
      <c r="M19" s="73" t="s">
        <v>5</v>
      </c>
      <c r="N19" s="52" t="s">
        <v>6</v>
      </c>
      <c r="O19" s="53"/>
      <c r="P19" s="54"/>
    </row>
    <row r="20" s="1" customFormat="1" ht="50" customHeight="1" spans="1:16">
      <c r="A20" s="8" t="s">
        <v>7</v>
      </c>
      <c r="B20" s="9" t="s">
        <v>8</v>
      </c>
      <c r="C20" s="35" t="s">
        <v>9</v>
      </c>
      <c r="D20" s="36" t="s">
        <v>10</v>
      </c>
      <c r="E20" s="37" t="s">
        <v>11</v>
      </c>
      <c r="F20" s="35" t="s">
        <v>9</v>
      </c>
      <c r="G20" s="36" t="s">
        <v>10</v>
      </c>
      <c r="H20" s="37" t="s">
        <v>11</v>
      </c>
      <c r="I20" s="79" t="s">
        <v>9</v>
      </c>
      <c r="J20" s="80" t="s">
        <v>10</v>
      </c>
      <c r="K20" s="81" t="s">
        <v>11</v>
      </c>
      <c r="L20" s="9"/>
      <c r="M20" s="74"/>
      <c r="N20" s="56" t="s">
        <v>12</v>
      </c>
      <c r="O20" s="57" t="s">
        <v>13</v>
      </c>
      <c r="P20" s="58" t="s">
        <v>11</v>
      </c>
    </row>
    <row r="21" spans="1:16">
      <c r="A21" s="11" t="s">
        <v>14</v>
      </c>
      <c r="B21" s="12" t="s">
        <v>15</v>
      </c>
      <c r="C21" s="13">
        <v>3350</v>
      </c>
      <c r="D21" s="38">
        <v>2360.896884</v>
      </c>
      <c r="E21" s="39">
        <f t="shared" ref="E21:E26" si="7">($C$21-D21)/$C$21</f>
        <v>0.295254661492537</v>
      </c>
      <c r="F21" s="40">
        <v>2002.776476</v>
      </c>
      <c r="G21" s="38">
        <v>1576.398921</v>
      </c>
      <c r="H21" s="39">
        <f>($F$21-G21)/$F$21</f>
        <v>0.212893231026746</v>
      </c>
      <c r="I21" s="40">
        <v>443.464808</v>
      </c>
      <c r="J21" s="38">
        <v>330.497964</v>
      </c>
      <c r="K21" s="39">
        <f t="shared" ref="K21:K26" si="8">(I21-J21)/I21</f>
        <v>0.254736885457662</v>
      </c>
      <c r="L21" s="82">
        <v>454</v>
      </c>
      <c r="M21" s="83">
        <f t="shared" ref="M21:M26" si="9">J21/D21</f>
        <v>0.139988309629198</v>
      </c>
      <c r="N21" s="84">
        <v>72.739315</v>
      </c>
      <c r="O21" s="85">
        <v>54.209928</v>
      </c>
      <c r="P21" s="39">
        <f t="shared" si="6"/>
        <v>0.254736891597068</v>
      </c>
    </row>
    <row r="22" spans="1:16">
      <c r="A22" s="16"/>
      <c r="B22" s="17" t="s">
        <v>16</v>
      </c>
      <c r="C22" s="18">
        <v>3350</v>
      </c>
      <c r="D22" s="41">
        <v>2685.365615</v>
      </c>
      <c r="E22" s="42">
        <f t="shared" si="7"/>
        <v>0.198398323880597</v>
      </c>
      <c r="F22" s="43"/>
      <c r="G22" s="41">
        <v>1712.334702</v>
      </c>
      <c r="H22" s="42">
        <f>($F$21-G22)/$F$21</f>
        <v>0.145019565328667</v>
      </c>
      <c r="I22" s="43">
        <v>625.861069</v>
      </c>
      <c r="J22" s="41">
        <v>519.030913</v>
      </c>
      <c r="K22" s="42">
        <f t="shared" si="8"/>
        <v>0.170693083963016</v>
      </c>
      <c r="L22" s="86"/>
      <c r="M22" s="87">
        <f t="shared" si="9"/>
        <v>0.193281283599068</v>
      </c>
      <c r="N22" s="88">
        <v>102.656862</v>
      </c>
      <c r="O22" s="89">
        <v>85.134046</v>
      </c>
      <c r="P22" s="42">
        <f t="shared" si="6"/>
        <v>0.170693080409958</v>
      </c>
    </row>
    <row r="23" ht="14" customHeight="1" spans="1:16">
      <c r="A23" s="16"/>
      <c r="B23" s="17" t="s">
        <v>17</v>
      </c>
      <c r="C23" s="18">
        <v>3350</v>
      </c>
      <c r="D23" s="41">
        <v>3102.265746</v>
      </c>
      <c r="E23" s="42">
        <f t="shared" si="7"/>
        <v>0.0739505235820895</v>
      </c>
      <c r="F23" s="43"/>
      <c r="G23" s="41">
        <v>1892.587948</v>
      </c>
      <c r="H23" s="42">
        <f>($F$21-G23)/$F$21</f>
        <v>0.0550178860798642</v>
      </c>
      <c r="I23" s="43">
        <v>808.25733</v>
      </c>
      <c r="J23" s="41">
        <v>755.677798</v>
      </c>
      <c r="K23" s="42">
        <f t="shared" si="8"/>
        <v>0.0650529602991661</v>
      </c>
      <c r="L23" s="86"/>
      <c r="M23" s="90" t="s">
        <v>21</v>
      </c>
      <c r="N23" s="88">
        <v>132.574409</v>
      </c>
      <c r="O23" s="41">
        <v>123.950051</v>
      </c>
      <c r="P23" s="42">
        <f t="shared" si="6"/>
        <v>0.0650529620690219</v>
      </c>
    </row>
    <row r="24" spans="1:16">
      <c r="A24" s="21" t="s">
        <v>18</v>
      </c>
      <c r="B24" s="22" t="s">
        <v>15</v>
      </c>
      <c r="C24" s="23"/>
      <c r="D24" s="44">
        <v>2309.635714</v>
      </c>
      <c r="E24" s="45">
        <f t="shared" si="7"/>
        <v>0.310556503283582</v>
      </c>
      <c r="F24" s="46">
        <v>2011.368198</v>
      </c>
      <c r="G24" s="44">
        <v>1559.331411</v>
      </c>
      <c r="H24" s="45">
        <f>($F$24-G24)/$F$21</f>
        <v>0.225705061157309</v>
      </c>
      <c r="I24" s="46">
        <v>426.287935</v>
      </c>
      <c r="J24" s="44">
        <v>296.304304</v>
      </c>
      <c r="K24" s="45">
        <f t="shared" si="8"/>
        <v>0.304919797929538</v>
      </c>
      <c r="L24" s="86"/>
      <c r="M24" s="91">
        <f t="shared" si="9"/>
        <v>0.128290492827043</v>
      </c>
      <c r="N24" s="92">
        <v>69.921879</v>
      </c>
      <c r="O24" s="93">
        <v>48.601313</v>
      </c>
      <c r="P24" s="45">
        <f t="shared" si="6"/>
        <v>0.304919809148722</v>
      </c>
    </row>
    <row r="25" spans="1:16">
      <c r="A25" s="21"/>
      <c r="B25" s="22" t="s">
        <v>16</v>
      </c>
      <c r="C25" s="23"/>
      <c r="D25" s="44">
        <v>2630.41992</v>
      </c>
      <c r="E25" s="45">
        <f t="shared" si="7"/>
        <v>0.214800023880597</v>
      </c>
      <c r="F25" s="46"/>
      <c r="G25" s="44">
        <v>1694.357505</v>
      </c>
      <c r="H25" s="45">
        <f>($F$24-G25)/$F$21</f>
        <v>0.158285608403561</v>
      </c>
      <c r="I25" s="46">
        <v>607.529058</v>
      </c>
      <c r="J25" s="94">
        <v>482.062414</v>
      </c>
      <c r="K25" s="45">
        <f t="shared" si="8"/>
        <v>0.206519576879235</v>
      </c>
      <c r="L25" s="86"/>
      <c r="M25" s="91">
        <f t="shared" si="9"/>
        <v>0.183264432547333</v>
      </c>
      <c r="N25" s="92">
        <v>99.649954</v>
      </c>
      <c r="O25" s="93">
        <v>79.070288</v>
      </c>
      <c r="P25" s="45">
        <f t="shared" si="6"/>
        <v>0.206519573506276</v>
      </c>
    </row>
    <row r="26" spans="1:16">
      <c r="A26" s="26"/>
      <c r="B26" s="27" t="s">
        <v>17</v>
      </c>
      <c r="C26" s="28"/>
      <c r="D26" s="47">
        <v>3050.592523</v>
      </c>
      <c r="E26" s="48">
        <f t="shared" si="7"/>
        <v>0.0893753662686568</v>
      </c>
      <c r="F26" s="49"/>
      <c r="G26" s="47">
        <v>1877.031479</v>
      </c>
      <c r="H26" s="48">
        <f>($F$24-G26)/$F$21</f>
        <v>0.0670752430986711</v>
      </c>
      <c r="I26" s="49">
        <v>788.77018</v>
      </c>
      <c r="J26" s="47">
        <v>719.561044</v>
      </c>
      <c r="K26" s="48">
        <f t="shared" si="8"/>
        <v>0.0877430939389721</v>
      </c>
      <c r="L26" s="95"/>
      <c r="M26" s="96" t="s">
        <v>21</v>
      </c>
      <c r="N26" s="97">
        <v>129.378029</v>
      </c>
      <c r="O26" s="47">
        <v>118.026</v>
      </c>
      <c r="P26" s="48">
        <f t="shared" si="6"/>
        <v>0.0877430974002549</v>
      </c>
    </row>
  </sheetData>
  <mergeCells count="30">
    <mergeCell ref="A1:B1"/>
    <mergeCell ref="C1:E1"/>
    <mergeCell ref="F1:H1"/>
    <mergeCell ref="I1:K1"/>
    <mergeCell ref="N1:P1"/>
    <mergeCell ref="A10:B10"/>
    <mergeCell ref="C10:E10"/>
    <mergeCell ref="F10:H10"/>
    <mergeCell ref="I10:K10"/>
    <mergeCell ref="N10:P10"/>
    <mergeCell ref="A19:B19"/>
    <mergeCell ref="C19:E19"/>
    <mergeCell ref="F19:H19"/>
    <mergeCell ref="I19:K19"/>
    <mergeCell ref="N19:P19"/>
    <mergeCell ref="A3:A5"/>
    <mergeCell ref="A6:A8"/>
    <mergeCell ref="A12:A14"/>
    <mergeCell ref="A15:A17"/>
    <mergeCell ref="A21:A23"/>
    <mergeCell ref="A24:A26"/>
    <mergeCell ref="L1:L2"/>
    <mergeCell ref="L3:L8"/>
    <mergeCell ref="L10:L11"/>
    <mergeCell ref="L12:L17"/>
    <mergeCell ref="L19:L20"/>
    <mergeCell ref="L21:L26"/>
    <mergeCell ref="M1:M2"/>
    <mergeCell ref="M10:M11"/>
    <mergeCell ref="M19:M2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2025-11-07T06:00:52Z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CB9ACDF485AD4BA8BEC45605E866A220_12</vt:lpwstr>
  </property>
  <property fmtid="{D5CDD505-2E9C-101B-9397-08002B2CF9AE}" pid="3" name="KSOProductBuildVer">
    <vt:lpwstr>1033-12.2.0.23155</vt:lpwstr>
  </property>
</Properties>
</file>