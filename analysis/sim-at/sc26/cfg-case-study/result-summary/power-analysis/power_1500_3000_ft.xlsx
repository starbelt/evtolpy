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All" sheetId="1" r:id="rId1"/>
    <sheet name="Each eVTO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<sst xmlns="http://schemas.openxmlformats.org/spreadsheetml/2006/main" count="52" uniqueCount="23">
  <si>
    <t>Depart Taxi</t>
  </si>
  <si>
    <t>Hover Climb</t>
  </si>
  <si>
    <t>Transition Climb</t>
  </si>
  <si>
    <t>Depart Procedures</t>
  </si>
  <si>
    <t>Accelerate Climb</t>
  </si>
  <si>
    <t>Cruise</t>
  </si>
  <si>
    <t>Decelerate Descend</t>
  </si>
  <si>
    <t>Arrive Procedures</t>
  </si>
  <si>
    <t>Transition Descend</t>
  </si>
  <si>
    <t>Hover Descend</t>
  </si>
  <si>
    <t>Arrive Taxi</t>
  </si>
  <si>
    <t>Reserve Hover Climb</t>
  </si>
  <si>
    <t>Reserve Transition Climb</t>
  </si>
  <si>
    <t>Reserve Accelerate Climb</t>
  </si>
  <si>
    <t>Reserve Cruise</t>
  </si>
  <si>
    <t>Reserve Decelerate Descend</t>
  </si>
  <si>
    <t>Reserve Transition Descend</t>
  </si>
  <si>
    <t>Reserve Hover Descend</t>
  </si>
  <si>
    <t>1500 ft</t>
  </si>
  <si>
    <t>Archer Midnight</t>
  </si>
  <si>
    <t>Joby S4</t>
  </si>
  <si>
    <t>Supernal S-A2</t>
  </si>
  <si>
    <t>3000 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</si>
</sst>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Mission Segment Average Power</a:t>
            </a:r>
            <a:endParaRPr sz="1600"/>
          </a:p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1500 ft</a:t>
            </a:r>
            <a:endParaRPr sz="1600" b="0"/>
          </a:p>
        </c:rich>
      </c:tx>
      <c:layout>
        <c:manualLayout>
          <c:xMode val="edge"/>
          <c:yMode val="edge"/>
          <c:x val="0.356030855539972"/>
          <c:y val="0.01629770473991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All!$B$2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All!$C$1:$T$1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All!$C$2:$T$2</c:f>
              <c:numCache>
                <c:formatCode>0.0000_ </c:formatCode>
                <c:ptCount val="18"/>
                <c:pt idx="0">
                  <c:v>0.496821786492374</c:v>
                </c:pt>
                <c:pt idx="1">
                  <c:v>846.52079291859</c:v>
                </c:pt>
                <c:pt idx="2">
                  <c:v>503.003644852478</c:v>
                </c:pt>
                <c:pt idx="3">
                  <c:v>109.724991106133</c:v>
                </c:pt>
                <c:pt idx="4">
                  <c:v>172.411548672777</c:v>
                </c:pt>
                <c:pt idx="5">
                  <c:v>264.23650135357</c:v>
                </c:pt>
                <c:pt idx="6">
                  <c:v>48.4394616210579</c:v>
                </c:pt>
                <c:pt idx="7">
                  <c:v>109.724991106133</c:v>
                </c:pt>
                <c:pt idx="8">
                  <c:v>35.5251023618353</c:v>
                </c:pt>
                <c:pt idx="9">
                  <c:v>652.995034743484</c:v>
                </c:pt>
                <c:pt idx="10">
                  <c:v>0.496821786492374</c:v>
                </c:pt>
                <c:pt idx="11">
                  <c:v>846.52079291859</c:v>
                </c:pt>
                <c:pt idx="12">
                  <c:v>503.003644852478</c:v>
                </c:pt>
                <c:pt idx="13">
                  <c:v>475.112271345411</c:v>
                </c:pt>
                <c:pt idx="14">
                  <c:v>264.23650135357</c:v>
                </c:pt>
                <c:pt idx="15">
                  <c:v>54.3092653471595</c:v>
                </c:pt>
                <c:pt idx="16">
                  <c:v>35.2418425579138</c:v>
                </c:pt>
                <c:pt idx="17">
                  <c:v>652.995034743484</c:v>
                </c:pt>
              </c:numCache>
            </c:numRef>
          </c:val>
        </c:ser>
        <c:ser>
          <c:idx val="1"/>
          <c:order val="1"/>
          <c:tx>
            <c:strRef>
              <c:f>All!$B$3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All!$C$1:$T$1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All!$C$3:$T$3</c:f>
              <c:numCache>
                <c:formatCode>0.0000_ </c:formatCode>
                <c:ptCount val="18"/>
                <c:pt idx="0">
                  <c:v>0.376176244008714</c:v>
                </c:pt>
                <c:pt idx="1">
                  <c:v>525.832553832848</c:v>
                </c:pt>
                <c:pt idx="2">
                  <c:v>431.313660043604</c:v>
                </c:pt>
                <c:pt idx="3">
                  <c:v>105.783694216568</c:v>
                </c:pt>
                <c:pt idx="4">
                  <c:v>146.012263993007</c:v>
                </c:pt>
                <c:pt idx="5">
                  <c:v>166.249633960601</c:v>
                </c:pt>
                <c:pt idx="6">
                  <c:v>52.1448947733746</c:v>
                </c:pt>
                <c:pt idx="7">
                  <c:v>105.783694216568</c:v>
                </c:pt>
                <c:pt idx="8">
                  <c:v>15.9239445138237</c:v>
                </c:pt>
                <c:pt idx="9">
                  <c:v>405.620333997344</c:v>
                </c:pt>
                <c:pt idx="10">
                  <c:v>0.376176244008714</c:v>
                </c:pt>
                <c:pt idx="11">
                  <c:v>525.832553832848</c:v>
                </c:pt>
                <c:pt idx="12">
                  <c:v>431.313660043604</c:v>
                </c:pt>
                <c:pt idx="13">
                  <c:v>375.206763931594</c:v>
                </c:pt>
                <c:pt idx="14">
                  <c:v>166.249633960601</c:v>
                </c:pt>
                <c:pt idx="15">
                  <c:v>37.8727694832122</c:v>
                </c:pt>
                <c:pt idx="16">
                  <c:v>15.7094700040198</c:v>
                </c:pt>
                <c:pt idx="17">
                  <c:v>405.620333997344</c:v>
                </c:pt>
              </c:numCache>
            </c:numRef>
          </c:val>
        </c:ser>
        <c:ser>
          <c:idx val="2"/>
          <c:order val="2"/>
          <c:tx>
            <c:strRef>
              <c:f>All!$B$4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All!$C$1:$T$1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All!$C$4:$T$4</c:f>
              <c:numCache>
                <c:formatCode>0.0000_ </c:formatCode>
                <c:ptCount val="18"/>
                <c:pt idx="0">
                  <c:v>0.524205664488017</c:v>
                </c:pt>
                <c:pt idx="1">
                  <c:v>624.255490242125</c:v>
                </c:pt>
                <c:pt idx="2">
                  <c:v>546.553955373282</c:v>
                </c:pt>
                <c:pt idx="3">
                  <c:v>129.657354139609</c:v>
                </c:pt>
                <c:pt idx="4">
                  <c:v>198.235744431155</c:v>
                </c:pt>
                <c:pt idx="5">
                  <c:v>295.25032082899</c:v>
                </c:pt>
                <c:pt idx="6">
                  <c:v>67.430550219105</c:v>
                </c:pt>
                <c:pt idx="7">
                  <c:v>129.657354139609</c:v>
                </c:pt>
                <c:pt idx="8">
                  <c:v>33.2755764941291</c:v>
                </c:pt>
                <c:pt idx="9">
                  <c:v>481.542496001831</c:v>
                </c:pt>
                <c:pt idx="10">
                  <c:v>0.524205664488017</c:v>
                </c:pt>
                <c:pt idx="11">
                  <c:v>624.255490242125</c:v>
                </c:pt>
                <c:pt idx="12">
                  <c:v>546.553955373282</c:v>
                </c:pt>
                <c:pt idx="13">
                  <c:v>517.620758904643</c:v>
                </c:pt>
                <c:pt idx="14">
                  <c:v>295.25032082899</c:v>
                </c:pt>
                <c:pt idx="15">
                  <c:v>53.8752380487591</c:v>
                </c:pt>
                <c:pt idx="16">
                  <c:v>32.9767039451096</c:v>
                </c:pt>
                <c:pt idx="17">
                  <c:v>481.542496001831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31083210"/>
        <c:axId val="972653384"/>
      </c:barChart>
      <c:catAx>
        <c:axId val="4310832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24700189354092"/>
              <c:y val="0.85406125166444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2653384"/>
        <c:crosses val="autoZero"/>
        <c:auto val="1"/>
        <c:lblAlgn val="ctr"/>
        <c:lblOffset val="100"/>
        <c:noMultiLvlLbl val="0"/>
      </c:catAx>
      <c:valAx>
        <c:axId val="97265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Average Power (kW)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03794094957571"/>
              <c:y val="0.2035552596537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10832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35928185707273"/>
          <c:y val="0.92503328894806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6d3161-6aac-453e-b94d-a85517923b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Mission Segment Average Power</a:t>
            </a:r>
            <a:endParaRPr sz="1600"/>
          </a:p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3000 ft</a:t>
            </a:r>
            <a:endParaRPr sz="1600" b="0"/>
          </a:p>
        </c:rich>
      </c:tx>
      <c:layout>
        <c:manualLayout>
          <c:xMode val="edge"/>
          <c:yMode val="edge"/>
          <c:x val="0.356030855539972"/>
          <c:y val="0.01629770473991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All!$B$6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All!$C$1:$T$1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All!$C$6:$T$6</c:f>
              <c:numCache>
                <c:formatCode>0.0000_ </c:formatCode>
                <c:ptCount val="18"/>
                <c:pt idx="0">
                  <c:v>0.496821786492374</c:v>
                </c:pt>
                <c:pt idx="1">
                  <c:v>796.58337609268</c:v>
                </c:pt>
                <c:pt idx="2">
                  <c:v>338.281555997334</c:v>
                </c:pt>
                <c:pt idx="3">
                  <c:v>109.7818291957</c:v>
                </c:pt>
                <c:pt idx="4">
                  <c:v>141.426739867396</c:v>
                </c:pt>
                <c:pt idx="5">
                  <c:v>258.399766675242</c:v>
                </c:pt>
                <c:pt idx="6">
                  <c:v>79.2660849109692</c:v>
                </c:pt>
                <c:pt idx="7">
                  <c:v>109.7818291957</c:v>
                </c:pt>
                <c:pt idx="8">
                  <c:v>8.82308105180094</c:v>
                </c:pt>
                <c:pt idx="9">
                  <c:v>699.797926541609</c:v>
                </c:pt>
                <c:pt idx="10">
                  <c:v>0.496821786492374</c:v>
                </c:pt>
                <c:pt idx="11">
                  <c:v>796.58337609268</c:v>
                </c:pt>
                <c:pt idx="12">
                  <c:v>338.281555997334</c:v>
                </c:pt>
                <c:pt idx="13">
                  <c:v>292.977316162035</c:v>
                </c:pt>
                <c:pt idx="14">
                  <c:v>258.399766675242</c:v>
                </c:pt>
                <c:pt idx="15">
                  <c:v>15.6002750533157</c:v>
                </c:pt>
                <c:pt idx="16">
                  <c:v>9.49750915637609</c:v>
                </c:pt>
                <c:pt idx="17">
                  <c:v>699.797926541609</c:v>
                </c:pt>
              </c:numCache>
            </c:numRef>
          </c:val>
        </c:ser>
        <c:ser>
          <c:idx val="1"/>
          <c:order val="1"/>
          <c:tx>
            <c:strRef>
              <c:f>All!$B$7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All!$C$1:$T$1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All!$C$7:$T$7</c:f>
              <c:numCache>
                <c:formatCode>0.0000_ </c:formatCode>
                <c:ptCount val="18"/>
                <c:pt idx="0">
                  <c:v>0.376176244008714</c:v>
                </c:pt>
                <c:pt idx="1">
                  <c:v>494.812973875632</c:v>
                </c:pt>
                <c:pt idx="2">
                  <c:v>306.594035003681</c:v>
                </c:pt>
                <c:pt idx="3">
                  <c:v>105.844490291388</c:v>
                </c:pt>
                <c:pt idx="4">
                  <c:v>122.581487049911</c:v>
                </c:pt>
                <c:pt idx="5">
                  <c:v>165.402256563675</c:v>
                </c:pt>
                <c:pt idx="6">
                  <c:v>75.5155927143995</c:v>
                </c:pt>
                <c:pt idx="7">
                  <c:v>105.844490291388</c:v>
                </c:pt>
                <c:pt idx="8">
                  <c:v>57.1394920842917</c:v>
                </c:pt>
                <c:pt idx="9">
                  <c:v>434.69284388351</c:v>
                </c:pt>
                <c:pt idx="10">
                  <c:v>0.376176244008714</c:v>
                </c:pt>
                <c:pt idx="11">
                  <c:v>494.812973875632</c:v>
                </c:pt>
                <c:pt idx="12">
                  <c:v>306.594035003681</c:v>
                </c:pt>
                <c:pt idx="13">
                  <c:v>237.330332849064</c:v>
                </c:pt>
                <c:pt idx="14">
                  <c:v>165.402256563675</c:v>
                </c:pt>
                <c:pt idx="15">
                  <c:v>8.55739530466103</c:v>
                </c:pt>
                <c:pt idx="16">
                  <c:v>57.650145679063</c:v>
                </c:pt>
                <c:pt idx="17">
                  <c:v>434.69284388351</c:v>
                </c:pt>
              </c:numCache>
            </c:numRef>
          </c:val>
        </c:ser>
        <c:ser>
          <c:idx val="2"/>
          <c:order val="2"/>
          <c:tx>
            <c:strRef>
              <c:f>All!$B$8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All!$C$1:$T$1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All!$C$8:$T$8</c:f>
              <c:numCache>
                <c:formatCode>0.0000_ </c:formatCode>
                <c:ptCount val="18"/>
                <c:pt idx="0">
                  <c:v>0.524205664488017</c:v>
                </c:pt>
                <c:pt idx="1">
                  <c:v>587.429806947797</c:v>
                </c:pt>
                <c:pt idx="2">
                  <c:v>372.756990627751</c:v>
                </c:pt>
                <c:pt idx="3">
                  <c:v>129.751469163419</c:v>
                </c:pt>
                <c:pt idx="4">
                  <c:v>165.600492082029</c:v>
                </c:pt>
                <c:pt idx="5">
                  <c:v>289.00518110753</c:v>
                </c:pt>
                <c:pt idx="6">
                  <c:v>100.013659293358</c:v>
                </c:pt>
                <c:pt idx="7">
                  <c:v>129.751469163419</c:v>
                </c:pt>
                <c:pt idx="8">
                  <c:v>25.139387141913</c:v>
                </c:pt>
                <c:pt idx="9">
                  <c:v>516.056665539776</c:v>
                </c:pt>
                <c:pt idx="10">
                  <c:v>0.524205664488017</c:v>
                </c:pt>
                <c:pt idx="11">
                  <c:v>587.429806947797</c:v>
                </c:pt>
                <c:pt idx="12">
                  <c:v>372.756990627751</c:v>
                </c:pt>
                <c:pt idx="13">
                  <c:v>325.504249747239</c:v>
                </c:pt>
                <c:pt idx="14">
                  <c:v>289.00518110753</c:v>
                </c:pt>
                <c:pt idx="15">
                  <c:v>13.0206314424023</c:v>
                </c:pt>
                <c:pt idx="16">
                  <c:v>25.8509884491025</c:v>
                </c:pt>
                <c:pt idx="17">
                  <c:v>516.056665539776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31083210"/>
        <c:axId val="972653384"/>
      </c:barChart>
      <c:catAx>
        <c:axId val="4310832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24700189354092"/>
              <c:y val="0.85406125166444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2653384"/>
        <c:crosses val="autoZero"/>
        <c:auto val="1"/>
        <c:lblAlgn val="ctr"/>
        <c:lblOffset val="100"/>
        <c:noMultiLvlLbl val="0"/>
      </c:catAx>
      <c:valAx>
        <c:axId val="972653384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Average Power (kW)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03794094957571"/>
              <c:y val="0.2035552596537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10832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5928185707273"/>
          <c:y val="0.92503328894806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6d3161-6aac-453e-b94d-a85517923b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Mission Segment Average Power: Archer Midnight</a:t>
            </a:r>
            <a:endParaRPr sz="1600"/>
          </a:p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 b="0"/>
              <a:t>1500 ft VS. 3000 ft</a:t>
            </a:r>
            <a:endParaRPr sz="1600" b="0"/>
          </a:p>
        </c:rich>
      </c:tx>
      <c:layout>
        <c:manualLayout>
          <c:xMode val="edge"/>
          <c:yMode val="edge"/>
          <c:x val="0.265887046350214"/>
          <c:y val="0.027841912264022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'Each eVTOL'!$A$2</c:f>
              <c:strCache>
                <c:ptCount val="1"/>
                <c:pt idx="0">
                  <c:v>1500 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'Each eVTOL'!$C$1:$T$1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'Each eVTOL'!$C$2:$T$2</c:f>
              <c:numCache>
                <c:formatCode>0.0000_ </c:formatCode>
                <c:ptCount val="18"/>
                <c:pt idx="0">
                  <c:v>0.496821786492374</c:v>
                </c:pt>
                <c:pt idx="1">
                  <c:v>846.52079291859</c:v>
                </c:pt>
                <c:pt idx="2">
                  <c:v>503.003644852478</c:v>
                </c:pt>
                <c:pt idx="3">
                  <c:v>109.724991106133</c:v>
                </c:pt>
                <c:pt idx="4">
                  <c:v>172.411548672777</c:v>
                </c:pt>
                <c:pt idx="5">
                  <c:v>264.23650135357</c:v>
                </c:pt>
                <c:pt idx="6">
                  <c:v>48.4394616210579</c:v>
                </c:pt>
                <c:pt idx="7">
                  <c:v>109.724991106133</c:v>
                </c:pt>
                <c:pt idx="8">
                  <c:v>35.5251023618353</c:v>
                </c:pt>
                <c:pt idx="9">
                  <c:v>652.995034743484</c:v>
                </c:pt>
                <c:pt idx="10">
                  <c:v>0.496821786492374</c:v>
                </c:pt>
                <c:pt idx="11">
                  <c:v>846.52079291859</c:v>
                </c:pt>
                <c:pt idx="12">
                  <c:v>503.003644852478</c:v>
                </c:pt>
                <c:pt idx="13">
                  <c:v>475.112271345411</c:v>
                </c:pt>
                <c:pt idx="14">
                  <c:v>264.23650135357</c:v>
                </c:pt>
                <c:pt idx="15">
                  <c:v>54.3092653471595</c:v>
                </c:pt>
                <c:pt idx="16">
                  <c:v>35.2418425579138</c:v>
                </c:pt>
                <c:pt idx="17">
                  <c:v>652.995034743484</c:v>
                </c:pt>
              </c:numCache>
            </c:numRef>
          </c:val>
        </c:ser>
        <c:ser>
          <c:idx val="1"/>
          <c:order val="1"/>
          <c:tx>
            <c:strRef>
              <c:f>'Each eVTOL'!$A$6</c:f>
              <c:strCache>
                <c:ptCount val="1"/>
                <c:pt idx="0">
                  <c:v>3000 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'Each eVTOL'!$C$1:$T$1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'Each eVTOL'!$C$6:$T$6</c:f>
              <c:numCache>
                <c:formatCode>0.0000_ </c:formatCode>
                <c:ptCount val="18"/>
                <c:pt idx="0">
                  <c:v>0.496821786492374</c:v>
                </c:pt>
                <c:pt idx="1">
                  <c:v>796.58337609268</c:v>
                </c:pt>
                <c:pt idx="2">
                  <c:v>338.281555997334</c:v>
                </c:pt>
                <c:pt idx="3">
                  <c:v>109.7818291957</c:v>
                </c:pt>
                <c:pt idx="4">
                  <c:v>141.426739867396</c:v>
                </c:pt>
                <c:pt idx="5">
                  <c:v>258.399766675242</c:v>
                </c:pt>
                <c:pt idx="6">
                  <c:v>79.2660849109692</c:v>
                </c:pt>
                <c:pt idx="7">
                  <c:v>109.7818291957</c:v>
                </c:pt>
                <c:pt idx="8">
                  <c:v>8.82308105180094</c:v>
                </c:pt>
                <c:pt idx="9">
                  <c:v>699.797926541609</c:v>
                </c:pt>
                <c:pt idx="10">
                  <c:v>0.496821786492374</c:v>
                </c:pt>
                <c:pt idx="11">
                  <c:v>796.58337609268</c:v>
                </c:pt>
                <c:pt idx="12">
                  <c:v>338.281555997334</c:v>
                </c:pt>
                <c:pt idx="13">
                  <c:v>292.977316162035</c:v>
                </c:pt>
                <c:pt idx="14">
                  <c:v>258.399766675242</c:v>
                </c:pt>
                <c:pt idx="15">
                  <c:v>15.6002750533157</c:v>
                </c:pt>
                <c:pt idx="16">
                  <c:v>9.49750915637609</c:v>
                </c:pt>
                <c:pt idx="17">
                  <c:v>699.797926541609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31083210"/>
        <c:axId val="972653384"/>
      </c:barChart>
      <c:catAx>
        <c:axId val="4310832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24700189354092"/>
              <c:y val="0.85406125166444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2653384"/>
        <c:crosses val="autoZero"/>
        <c:auto val="1"/>
        <c:lblAlgn val="ctr"/>
        <c:lblOffset val="100"/>
        <c:noMultiLvlLbl val="0"/>
      </c:catAx>
      <c:valAx>
        <c:axId val="97265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Average Power (kW)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03794094957571"/>
              <c:y val="0.2035552596537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10832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6d3161-6aac-453e-b94d-a85517923b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Mission Segment Average Power: Supernal S-A2</a:t>
            </a:r>
            <a:endParaRPr sz="1600"/>
          </a:p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 b="0"/>
              <a:t>1500 ft VS. 3000 ft</a:t>
            </a:r>
            <a:endParaRPr sz="1600" b="0"/>
          </a:p>
        </c:rich>
      </c:tx>
      <c:layout>
        <c:manualLayout>
          <c:xMode val="edge"/>
          <c:yMode val="edge"/>
          <c:x val="0.265887046350214"/>
          <c:y val="0.027841912264022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'Each eVTOL'!$A$2</c:f>
              <c:strCache>
                <c:ptCount val="1"/>
                <c:pt idx="0">
                  <c:v>1500 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'Each eVTOL'!$C$1:$T$1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'Each eVTOL'!$C$4:$T$4</c:f>
              <c:numCache>
                <c:formatCode>0.0000_ </c:formatCode>
                <c:ptCount val="18"/>
                <c:pt idx="0">
                  <c:v>0.524205664488017</c:v>
                </c:pt>
                <c:pt idx="1">
                  <c:v>624.255490242125</c:v>
                </c:pt>
                <c:pt idx="2">
                  <c:v>546.553955373282</c:v>
                </c:pt>
                <c:pt idx="3">
                  <c:v>129.657354139609</c:v>
                </c:pt>
                <c:pt idx="4">
                  <c:v>198.235744431155</c:v>
                </c:pt>
                <c:pt idx="5">
                  <c:v>295.25032082899</c:v>
                </c:pt>
                <c:pt idx="6">
                  <c:v>67.430550219105</c:v>
                </c:pt>
                <c:pt idx="7">
                  <c:v>129.657354139609</c:v>
                </c:pt>
                <c:pt idx="8">
                  <c:v>33.2755764941291</c:v>
                </c:pt>
                <c:pt idx="9">
                  <c:v>481.542496001831</c:v>
                </c:pt>
                <c:pt idx="10">
                  <c:v>0.524205664488017</c:v>
                </c:pt>
                <c:pt idx="11">
                  <c:v>624.255490242125</c:v>
                </c:pt>
                <c:pt idx="12">
                  <c:v>546.553955373282</c:v>
                </c:pt>
                <c:pt idx="13">
                  <c:v>517.620758904643</c:v>
                </c:pt>
                <c:pt idx="14">
                  <c:v>295.25032082899</c:v>
                </c:pt>
                <c:pt idx="15">
                  <c:v>53.8752380487591</c:v>
                </c:pt>
                <c:pt idx="16">
                  <c:v>32.9767039451096</c:v>
                </c:pt>
                <c:pt idx="17">
                  <c:v>481.542496001831</c:v>
                </c:pt>
              </c:numCache>
            </c:numRef>
          </c:val>
        </c:ser>
        <c:ser>
          <c:idx val="1"/>
          <c:order val="1"/>
          <c:tx>
            <c:strRef>
              <c:f>'Each eVTOL'!$A$6</c:f>
              <c:strCache>
                <c:ptCount val="1"/>
                <c:pt idx="0">
                  <c:v>3000 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'Each eVTOL'!$C$1:$T$1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'Each eVTOL'!$C$8:$T$8</c:f>
              <c:numCache>
                <c:formatCode>0.0000_ </c:formatCode>
                <c:ptCount val="18"/>
                <c:pt idx="0">
                  <c:v>0.524205664488017</c:v>
                </c:pt>
                <c:pt idx="1">
                  <c:v>587.429806947797</c:v>
                </c:pt>
                <c:pt idx="2">
                  <c:v>372.756990627751</c:v>
                </c:pt>
                <c:pt idx="3">
                  <c:v>129.751469163419</c:v>
                </c:pt>
                <c:pt idx="4">
                  <c:v>165.600492082029</c:v>
                </c:pt>
                <c:pt idx="5">
                  <c:v>289.00518110753</c:v>
                </c:pt>
                <c:pt idx="6">
                  <c:v>100.013659293358</c:v>
                </c:pt>
                <c:pt idx="7">
                  <c:v>129.751469163419</c:v>
                </c:pt>
                <c:pt idx="8">
                  <c:v>25.139387141913</c:v>
                </c:pt>
                <c:pt idx="9">
                  <c:v>516.056665539776</c:v>
                </c:pt>
                <c:pt idx="10">
                  <c:v>0.524205664488017</c:v>
                </c:pt>
                <c:pt idx="11">
                  <c:v>587.429806947797</c:v>
                </c:pt>
                <c:pt idx="12">
                  <c:v>372.756990627751</c:v>
                </c:pt>
                <c:pt idx="13">
                  <c:v>325.504249747239</c:v>
                </c:pt>
                <c:pt idx="14">
                  <c:v>289.00518110753</c:v>
                </c:pt>
                <c:pt idx="15">
                  <c:v>13.0206314424023</c:v>
                </c:pt>
                <c:pt idx="16">
                  <c:v>25.8509884491025</c:v>
                </c:pt>
                <c:pt idx="17">
                  <c:v>516.056665539776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31083210"/>
        <c:axId val="972653384"/>
      </c:barChart>
      <c:catAx>
        <c:axId val="4310832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24700189354092"/>
              <c:y val="0.85406125166444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2653384"/>
        <c:crosses val="autoZero"/>
        <c:auto val="1"/>
        <c:lblAlgn val="ctr"/>
        <c:lblOffset val="100"/>
        <c:noMultiLvlLbl val="0"/>
      </c:catAx>
      <c:valAx>
        <c:axId val="97265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Average Power (kW)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03794094957571"/>
              <c:y val="0.2035552596537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10832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6d3161-6aac-453e-b94d-a85517923b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Mission Segment Average Power: Joby S4</a:t>
            </a:r>
            <a:endParaRPr sz="1600"/>
          </a:p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 b="0"/>
              <a:t>1500 ft VS. 3000 ft</a:t>
            </a:r>
            <a:endParaRPr sz="1600" b="0"/>
          </a:p>
        </c:rich>
      </c:tx>
      <c:layout>
        <c:manualLayout>
          <c:xMode val="edge"/>
          <c:yMode val="edge"/>
          <c:x val="0.320028290476731"/>
          <c:y val="0.03021064499201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'Each eVTOL'!$A$2</c:f>
              <c:strCache>
                <c:ptCount val="1"/>
                <c:pt idx="0">
                  <c:v>1500 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'Each eVTOL'!$C$1:$T$1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'Each eVTOL'!$C$3:$T$3</c:f>
              <c:numCache>
                <c:formatCode>0.0000_ </c:formatCode>
                <c:ptCount val="18"/>
                <c:pt idx="0">
                  <c:v>0.376176244008714</c:v>
                </c:pt>
                <c:pt idx="1">
                  <c:v>525.832553832848</c:v>
                </c:pt>
                <c:pt idx="2">
                  <c:v>431.313660043604</c:v>
                </c:pt>
                <c:pt idx="3">
                  <c:v>105.783694216568</c:v>
                </c:pt>
                <c:pt idx="4">
                  <c:v>146.012263993007</c:v>
                </c:pt>
                <c:pt idx="5">
                  <c:v>166.249633960601</c:v>
                </c:pt>
                <c:pt idx="6">
                  <c:v>52.1448947733746</c:v>
                </c:pt>
                <c:pt idx="7">
                  <c:v>105.783694216568</c:v>
                </c:pt>
                <c:pt idx="8">
                  <c:v>15.9239445138237</c:v>
                </c:pt>
                <c:pt idx="9">
                  <c:v>405.620333997344</c:v>
                </c:pt>
                <c:pt idx="10">
                  <c:v>0.376176244008714</c:v>
                </c:pt>
                <c:pt idx="11">
                  <c:v>525.832553832848</c:v>
                </c:pt>
                <c:pt idx="12">
                  <c:v>431.313660043604</c:v>
                </c:pt>
                <c:pt idx="13">
                  <c:v>375.206763931594</c:v>
                </c:pt>
                <c:pt idx="14">
                  <c:v>166.249633960601</c:v>
                </c:pt>
                <c:pt idx="15">
                  <c:v>37.8727694832122</c:v>
                </c:pt>
                <c:pt idx="16">
                  <c:v>15.7094700040198</c:v>
                </c:pt>
                <c:pt idx="17">
                  <c:v>405.620333997344</c:v>
                </c:pt>
              </c:numCache>
            </c:numRef>
          </c:val>
        </c:ser>
        <c:ser>
          <c:idx val="1"/>
          <c:order val="1"/>
          <c:tx>
            <c:strRef>
              <c:f>'Each eVTOL'!$A$6</c:f>
              <c:strCache>
                <c:ptCount val="1"/>
                <c:pt idx="0">
                  <c:v>3000 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'Each eVTOL'!$C$1:$T$1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'Each eVTOL'!$C$7:$T$7</c:f>
              <c:numCache>
                <c:formatCode>0.0000_ </c:formatCode>
                <c:ptCount val="18"/>
                <c:pt idx="0">
                  <c:v>0.376176244008714</c:v>
                </c:pt>
                <c:pt idx="1">
                  <c:v>494.812973875632</c:v>
                </c:pt>
                <c:pt idx="2">
                  <c:v>306.594035003681</c:v>
                </c:pt>
                <c:pt idx="3">
                  <c:v>105.844490291388</c:v>
                </c:pt>
                <c:pt idx="4">
                  <c:v>122.581487049911</c:v>
                </c:pt>
                <c:pt idx="5">
                  <c:v>165.402256563675</c:v>
                </c:pt>
                <c:pt idx="6">
                  <c:v>75.5155927143995</c:v>
                </c:pt>
                <c:pt idx="7">
                  <c:v>105.844490291388</c:v>
                </c:pt>
                <c:pt idx="8">
                  <c:v>57.1394920842917</c:v>
                </c:pt>
                <c:pt idx="9">
                  <c:v>434.69284388351</c:v>
                </c:pt>
                <c:pt idx="10">
                  <c:v>0.376176244008714</c:v>
                </c:pt>
                <c:pt idx="11">
                  <c:v>494.812973875632</c:v>
                </c:pt>
                <c:pt idx="12">
                  <c:v>306.594035003681</c:v>
                </c:pt>
                <c:pt idx="13">
                  <c:v>237.330332849064</c:v>
                </c:pt>
                <c:pt idx="14">
                  <c:v>165.402256563675</c:v>
                </c:pt>
                <c:pt idx="15">
                  <c:v>8.55739530466103</c:v>
                </c:pt>
                <c:pt idx="16">
                  <c:v>57.650145679063</c:v>
                </c:pt>
                <c:pt idx="17">
                  <c:v>434.69284388351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31083210"/>
        <c:axId val="972653384"/>
      </c:barChart>
      <c:catAx>
        <c:axId val="4310832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24700189354092"/>
              <c:y val="0.85406125166444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2653384"/>
        <c:crosses val="autoZero"/>
        <c:auto val="1"/>
        <c:lblAlgn val="ctr"/>
        <c:lblOffset val="100"/>
        <c:noMultiLvlLbl val="0"/>
      </c:catAx>
      <c:valAx>
        <c:axId val="97265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Average Power (kW)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03794094957571"/>
              <c:y val="0.2035552596537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10832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6d3161-6aac-453e-b94d-a85517923b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71755</xdr:colOff>
      <xdr:row>9</xdr:row>
      <xdr:rowOff>175895</xdr:rowOff>
    </xdr:from>
    <xdr:to>
      <xdr:col>7</xdr:col>
      <xdr:colOff>553720</xdr:colOff>
      <xdr:row>36</xdr:row>
      <xdr:rowOff>6985</xdr:rowOff>
    </xdr:to>
    <xdr:graphicFrame>
      <xdr:nvGraphicFramePr>
        <xdr:cNvPr id="2" name="Chart 1"/>
        <xdr:cNvGraphicFramePr/>
      </xdr:nvGraphicFramePr>
      <xdr:xfrm>
        <a:off x="71755" y="1821815"/>
        <a:ext cx="9054465" cy="4768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865505</xdr:colOff>
      <xdr:row>9</xdr:row>
      <xdr:rowOff>149860</xdr:rowOff>
    </xdr:from>
    <xdr:to>
      <xdr:col>14</xdr:col>
      <xdr:colOff>547370</xdr:colOff>
      <xdr:row>35</xdr:row>
      <xdr:rowOff>163830</xdr:rowOff>
    </xdr:to>
    <xdr:graphicFrame>
      <xdr:nvGraphicFramePr>
        <xdr:cNvPr id="3" name="Chart 2"/>
        <xdr:cNvGraphicFramePr/>
      </xdr:nvGraphicFramePr>
      <xdr:xfrm>
        <a:off x="9438005" y="1795780"/>
        <a:ext cx="9054465" cy="4768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387350</xdr:colOff>
      <xdr:row>11</xdr:row>
      <xdr:rowOff>131445</xdr:rowOff>
    </xdr:from>
    <xdr:to>
      <xdr:col>7</xdr:col>
      <xdr:colOff>869315</xdr:colOff>
      <xdr:row>37</xdr:row>
      <xdr:rowOff>145415</xdr:rowOff>
    </xdr:to>
    <xdr:graphicFrame>
      <xdr:nvGraphicFramePr>
        <xdr:cNvPr id="2" name="Chart 1"/>
        <xdr:cNvGraphicFramePr/>
      </xdr:nvGraphicFramePr>
      <xdr:xfrm>
        <a:off x="387350" y="2143125"/>
        <a:ext cx="9054465" cy="4768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361315</xdr:colOff>
      <xdr:row>38</xdr:row>
      <xdr:rowOff>128905</xdr:rowOff>
    </xdr:from>
    <xdr:to>
      <xdr:col>7</xdr:col>
      <xdr:colOff>843280</xdr:colOff>
      <xdr:row>64</xdr:row>
      <xdr:rowOff>142875</xdr:rowOff>
    </xdr:to>
    <xdr:graphicFrame>
      <xdr:nvGraphicFramePr>
        <xdr:cNvPr id="4" name="Chart 3"/>
        <xdr:cNvGraphicFramePr/>
      </xdr:nvGraphicFramePr>
      <xdr:xfrm>
        <a:off x="361315" y="7078345"/>
        <a:ext cx="9054465" cy="4768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1036320</xdr:colOff>
      <xdr:row>11</xdr:row>
      <xdr:rowOff>117475</xdr:rowOff>
    </xdr:from>
    <xdr:to>
      <xdr:col>14</xdr:col>
      <xdr:colOff>718185</xdr:colOff>
      <xdr:row>37</xdr:row>
      <xdr:rowOff>131445</xdr:rowOff>
    </xdr:to>
    <xdr:graphicFrame>
      <xdr:nvGraphicFramePr>
        <xdr:cNvPr id="5" name="Chart 4"/>
        <xdr:cNvGraphicFramePr/>
      </xdr:nvGraphicFramePr>
      <xdr:xfrm>
        <a:off x="9608820" y="2129155"/>
        <a:ext cx="9054465" cy="4768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tabSelected="1" zoomScale="70" zoomScaleNormal="70" workbookViewId="0">
      <selection activeCell="O11" sqref="O11"/>
    </sheetView>
  </sheetViews>
  <sheetFormatPr defaultColWidth="9" defaultRowHeight="14.4" outlineLevelRow="7"/>
  <cols>
    <col min="1" max="1" width="9" style="2"/>
    <col min="2" max="2" width="15.1111111111111" style="2" customWidth="1"/>
    <col min="3" max="3" width="21.5555555555556" style="2" customWidth="1"/>
    <col min="4" max="4" width="20.4444444444444" style="2" customWidth="1"/>
    <col min="5" max="6" width="19.2222222222222" style="2" customWidth="1"/>
    <col min="7" max="7" width="20.4444444444444" style="2" customWidth="1"/>
    <col min="8" max="8" width="18.1111111111111" style="2" customWidth="1"/>
    <col min="9" max="9" width="18.8888888888889" style="2" customWidth="1"/>
    <col min="10" max="12" width="19.2222222222222" style="2" customWidth="1"/>
    <col min="13" max="13" width="21.5555555555556" style="2" customWidth="1"/>
    <col min="14" max="14" width="20.4444444444444" style="2" customWidth="1"/>
    <col min="15" max="15" width="23.1111111111111" style="2" customWidth="1"/>
    <col min="16" max="16" width="23.7777777777778" style="2" customWidth="1"/>
    <col min="17" max="17" width="18.1111111111111" style="2" customWidth="1"/>
    <col min="18" max="18" width="26.6666666666667" style="2" customWidth="1"/>
    <col min="19" max="19" width="25.7777777777778" style="2" customWidth="1"/>
    <col min="20" max="20" width="22.1111111111111" style="2" customWidth="1"/>
    <col min="21" max="16384" width="9" style="2"/>
  </cols>
  <sheetData>
    <row r="1" spans="3:20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1">
      <c r="A2" s="3" t="s">
        <v>18</v>
      </c>
      <c r="B2" s="1" t="s">
        <v>19</v>
      </c>
      <c r="C2" s="4">
        <v>0.496821786492374</v>
      </c>
      <c r="D2" s="4">
        <v>846.52079291859</v>
      </c>
      <c r="E2" s="4">
        <v>503.003644852478</v>
      </c>
      <c r="F2" s="4">
        <v>109.724991106133</v>
      </c>
      <c r="G2" s="4">
        <v>172.411548672777</v>
      </c>
      <c r="H2" s="4">
        <v>264.23650135357</v>
      </c>
      <c r="I2" s="4">
        <v>48.4394616210579</v>
      </c>
      <c r="J2" s="4">
        <v>109.724991106133</v>
      </c>
      <c r="K2" s="4">
        <v>35.5251023618353</v>
      </c>
      <c r="L2" s="4">
        <v>652.995034743484</v>
      </c>
      <c r="M2" s="4">
        <v>0.496821786492374</v>
      </c>
      <c r="N2" s="4">
        <v>846.52079291859</v>
      </c>
      <c r="O2" s="4">
        <v>503.003644852478</v>
      </c>
      <c r="P2" s="4">
        <v>475.112271345411</v>
      </c>
      <c r="Q2" s="4">
        <v>264.23650135357</v>
      </c>
      <c r="R2" s="4">
        <v>54.3092653471595</v>
      </c>
      <c r="S2" s="4">
        <v>35.2418425579138</v>
      </c>
      <c r="T2" s="4">
        <v>652.995034743484</v>
      </c>
      <c r="U2" s="5"/>
    </row>
    <row r="3" s="1" customFormat="1" spans="1:21">
      <c r="A3" s="3"/>
      <c r="B3" s="1" t="s">
        <v>20</v>
      </c>
      <c r="C3" s="4">
        <v>0.376176244008714</v>
      </c>
      <c r="D3" s="4">
        <v>525.832553832848</v>
      </c>
      <c r="E3" s="4">
        <v>431.313660043604</v>
      </c>
      <c r="F3" s="4">
        <v>105.783694216568</v>
      </c>
      <c r="G3" s="4">
        <v>146.012263993007</v>
      </c>
      <c r="H3" s="4">
        <v>166.249633960601</v>
      </c>
      <c r="I3" s="4">
        <v>52.1448947733746</v>
      </c>
      <c r="J3" s="4">
        <v>105.783694216568</v>
      </c>
      <c r="K3" s="4">
        <v>15.9239445138237</v>
      </c>
      <c r="L3" s="4">
        <v>405.620333997344</v>
      </c>
      <c r="M3" s="4">
        <v>0.376176244008714</v>
      </c>
      <c r="N3" s="4">
        <v>525.832553832848</v>
      </c>
      <c r="O3" s="4">
        <v>431.313660043604</v>
      </c>
      <c r="P3" s="4">
        <v>375.206763931594</v>
      </c>
      <c r="Q3" s="4">
        <v>166.249633960601</v>
      </c>
      <c r="R3" s="4">
        <v>37.8727694832122</v>
      </c>
      <c r="S3" s="4">
        <v>15.7094700040198</v>
      </c>
      <c r="T3" s="4">
        <v>405.620333997344</v>
      </c>
      <c r="U3" s="5"/>
    </row>
    <row r="4" spans="1:21">
      <c r="A4" s="3"/>
      <c r="B4" s="1" t="s">
        <v>21</v>
      </c>
      <c r="C4" s="4">
        <v>0.524205664488017</v>
      </c>
      <c r="D4" s="4">
        <v>624.255490242125</v>
      </c>
      <c r="E4" s="4">
        <v>546.553955373282</v>
      </c>
      <c r="F4" s="4">
        <v>129.657354139609</v>
      </c>
      <c r="G4" s="4">
        <v>198.235744431155</v>
      </c>
      <c r="H4" s="4">
        <v>295.25032082899</v>
      </c>
      <c r="I4" s="4">
        <v>67.430550219105</v>
      </c>
      <c r="J4" s="4">
        <v>129.657354139609</v>
      </c>
      <c r="K4" s="4">
        <v>33.2755764941291</v>
      </c>
      <c r="L4" s="4">
        <v>481.542496001831</v>
      </c>
      <c r="M4" s="4">
        <v>0.524205664488017</v>
      </c>
      <c r="N4" s="4">
        <v>624.255490242125</v>
      </c>
      <c r="O4" s="4">
        <v>546.553955373282</v>
      </c>
      <c r="P4" s="4">
        <v>517.620758904643</v>
      </c>
      <c r="Q4" s="4">
        <v>295.25032082899</v>
      </c>
      <c r="R4" s="4">
        <v>53.8752380487591</v>
      </c>
      <c r="S4" s="4">
        <v>32.9767039451096</v>
      </c>
      <c r="T4" s="4">
        <v>481.542496001831</v>
      </c>
      <c r="U4" s="5"/>
    </row>
    <row r="5" spans="3:21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3" t="s">
        <v>22</v>
      </c>
      <c r="B6" s="1" t="s">
        <v>19</v>
      </c>
      <c r="C6" s="4">
        <v>0.496821786492374</v>
      </c>
      <c r="D6" s="4">
        <v>796.58337609268</v>
      </c>
      <c r="E6" s="4">
        <v>338.281555997334</v>
      </c>
      <c r="F6" s="4">
        <v>109.7818291957</v>
      </c>
      <c r="G6" s="4">
        <v>141.426739867396</v>
      </c>
      <c r="H6" s="4">
        <v>258.399766675242</v>
      </c>
      <c r="I6" s="4">
        <v>79.2660849109692</v>
      </c>
      <c r="J6" s="4">
        <v>109.7818291957</v>
      </c>
      <c r="K6" s="4">
        <v>8.82308105180094</v>
      </c>
      <c r="L6" s="4">
        <v>699.797926541609</v>
      </c>
      <c r="M6" s="4">
        <v>0.496821786492374</v>
      </c>
      <c r="N6" s="4">
        <v>796.58337609268</v>
      </c>
      <c r="O6" s="4">
        <v>338.281555997334</v>
      </c>
      <c r="P6" s="4">
        <v>292.977316162035</v>
      </c>
      <c r="Q6" s="4">
        <v>258.399766675242</v>
      </c>
      <c r="R6" s="4">
        <v>15.6002750533157</v>
      </c>
      <c r="S6" s="4">
        <v>9.49750915637609</v>
      </c>
      <c r="T6" s="4">
        <v>699.797926541609</v>
      </c>
      <c r="U6" s="5"/>
    </row>
    <row r="7" s="1" customFormat="1" spans="1:21">
      <c r="A7" s="3"/>
      <c r="B7" s="1" t="s">
        <v>20</v>
      </c>
      <c r="C7" s="4">
        <v>0.376176244008714</v>
      </c>
      <c r="D7" s="4">
        <v>494.812973875632</v>
      </c>
      <c r="E7" s="4">
        <v>306.594035003681</v>
      </c>
      <c r="F7" s="4">
        <v>105.844490291388</v>
      </c>
      <c r="G7" s="4">
        <v>122.581487049911</v>
      </c>
      <c r="H7" s="4">
        <v>165.402256563675</v>
      </c>
      <c r="I7" s="4">
        <v>75.5155927143995</v>
      </c>
      <c r="J7" s="4">
        <v>105.844490291388</v>
      </c>
      <c r="K7" s="4">
        <v>57.1394920842917</v>
      </c>
      <c r="L7" s="4">
        <v>434.69284388351</v>
      </c>
      <c r="M7" s="4">
        <v>0.376176244008714</v>
      </c>
      <c r="N7" s="4">
        <v>494.812973875632</v>
      </c>
      <c r="O7" s="4">
        <v>306.594035003681</v>
      </c>
      <c r="P7" s="4">
        <v>237.330332849064</v>
      </c>
      <c r="Q7" s="4">
        <v>165.402256563675</v>
      </c>
      <c r="R7" s="4">
        <v>8.55739530466103</v>
      </c>
      <c r="S7" s="4">
        <v>57.650145679063</v>
      </c>
      <c r="T7" s="4">
        <v>434.69284388351</v>
      </c>
      <c r="U7" s="5"/>
    </row>
    <row r="8" spans="1:21">
      <c r="A8" s="3"/>
      <c r="B8" s="1" t="s">
        <v>21</v>
      </c>
      <c r="C8" s="4">
        <v>0.524205664488017</v>
      </c>
      <c r="D8" s="4">
        <v>587.429806947797</v>
      </c>
      <c r="E8" s="4">
        <v>372.756990627751</v>
      </c>
      <c r="F8" s="4">
        <v>129.751469163419</v>
      </c>
      <c r="G8" s="4">
        <v>165.600492082029</v>
      </c>
      <c r="H8" s="4">
        <v>289.00518110753</v>
      </c>
      <c r="I8" s="4">
        <v>100.013659293358</v>
      </c>
      <c r="J8" s="4">
        <v>129.751469163419</v>
      </c>
      <c r="K8" s="4">
        <v>25.139387141913</v>
      </c>
      <c r="L8" s="4">
        <v>516.056665539776</v>
      </c>
      <c r="M8" s="4">
        <v>0.524205664488017</v>
      </c>
      <c r="N8" s="4">
        <v>587.429806947797</v>
      </c>
      <c r="O8" s="4">
        <v>372.756990627751</v>
      </c>
      <c r="P8" s="4">
        <v>325.504249747239</v>
      </c>
      <c r="Q8" s="4">
        <v>289.00518110753</v>
      </c>
      <c r="R8" s="4">
        <v>13.0206314424023</v>
      </c>
      <c r="S8" s="4">
        <v>25.8509884491025</v>
      </c>
      <c r="T8" s="4">
        <v>516.056665539776</v>
      </c>
      <c r="U8" s="5"/>
    </row>
  </sheetData>
  <mergeCells count="2">
    <mergeCell ref="A2:A4"/>
    <mergeCell ref="A6:A8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zoomScale="62" zoomScaleNormal="62" topLeftCell="A28" workbookViewId="0">
      <selection activeCell="P35" sqref="P35"/>
    </sheetView>
  </sheetViews>
  <sheetFormatPr defaultColWidth="9" defaultRowHeight="14.4" outlineLevelRow="7"/>
  <cols>
    <col min="1" max="1" width="9" style="2"/>
    <col min="2" max="2" width="15.1111111111111" style="2" customWidth="1"/>
    <col min="3" max="3" width="21.5555555555556" style="2" customWidth="1"/>
    <col min="4" max="4" width="20.4444444444444" style="2" customWidth="1"/>
    <col min="5" max="6" width="19.2222222222222" style="2" customWidth="1"/>
    <col min="7" max="7" width="20.4444444444444" style="2" customWidth="1"/>
    <col min="8" max="8" width="18.1111111111111" style="2" customWidth="1"/>
    <col min="9" max="9" width="18.8888888888889" style="2" customWidth="1"/>
    <col min="10" max="12" width="19.2222222222222" style="2" customWidth="1"/>
    <col min="13" max="13" width="21.5555555555556" style="2" customWidth="1"/>
    <col min="14" max="14" width="20.4444444444444" style="2" customWidth="1"/>
    <col min="15" max="15" width="23.1111111111111" style="2" customWidth="1"/>
    <col min="16" max="16" width="23.7777777777778" style="2" customWidth="1"/>
    <col min="17" max="17" width="18.1111111111111" style="2" customWidth="1"/>
    <col min="18" max="18" width="26.6666666666667" style="2" customWidth="1"/>
    <col min="19" max="19" width="25.7777777777778" style="2" customWidth="1"/>
    <col min="20" max="20" width="22.1111111111111" style="2" customWidth="1"/>
    <col min="21" max="16384" width="9" style="2"/>
  </cols>
  <sheetData>
    <row r="1" spans="3:20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1">
      <c r="A2" s="3" t="s">
        <v>18</v>
      </c>
      <c r="B2" s="1" t="s">
        <v>19</v>
      </c>
      <c r="C2" s="4">
        <v>0.496821786492374</v>
      </c>
      <c r="D2" s="4">
        <v>846.52079291859</v>
      </c>
      <c r="E2" s="4">
        <v>503.003644852478</v>
      </c>
      <c r="F2" s="4">
        <v>109.724991106133</v>
      </c>
      <c r="G2" s="4">
        <v>172.411548672777</v>
      </c>
      <c r="H2" s="4">
        <v>264.23650135357</v>
      </c>
      <c r="I2" s="4">
        <v>48.4394616210579</v>
      </c>
      <c r="J2" s="4">
        <v>109.724991106133</v>
      </c>
      <c r="K2" s="4">
        <v>35.5251023618353</v>
      </c>
      <c r="L2" s="4">
        <v>652.995034743484</v>
      </c>
      <c r="M2" s="4">
        <v>0.496821786492374</v>
      </c>
      <c r="N2" s="4">
        <v>846.52079291859</v>
      </c>
      <c r="O2" s="4">
        <v>503.003644852478</v>
      </c>
      <c r="P2" s="4">
        <v>475.112271345411</v>
      </c>
      <c r="Q2" s="4">
        <v>264.23650135357</v>
      </c>
      <c r="R2" s="4">
        <v>54.3092653471595</v>
      </c>
      <c r="S2" s="4">
        <v>35.2418425579138</v>
      </c>
      <c r="T2" s="4">
        <v>652.995034743484</v>
      </c>
      <c r="U2" s="5"/>
    </row>
    <row r="3" s="1" customFormat="1" spans="1:21">
      <c r="A3" s="3"/>
      <c r="B3" s="1" t="s">
        <v>20</v>
      </c>
      <c r="C3" s="4">
        <v>0.376176244008714</v>
      </c>
      <c r="D3" s="4">
        <v>525.832553832848</v>
      </c>
      <c r="E3" s="4">
        <v>431.313660043604</v>
      </c>
      <c r="F3" s="4">
        <v>105.783694216568</v>
      </c>
      <c r="G3" s="4">
        <v>146.012263993007</v>
      </c>
      <c r="H3" s="4">
        <v>166.249633960601</v>
      </c>
      <c r="I3" s="4">
        <v>52.1448947733746</v>
      </c>
      <c r="J3" s="4">
        <v>105.783694216568</v>
      </c>
      <c r="K3" s="4">
        <v>15.9239445138237</v>
      </c>
      <c r="L3" s="4">
        <v>405.620333997344</v>
      </c>
      <c r="M3" s="4">
        <v>0.376176244008714</v>
      </c>
      <c r="N3" s="4">
        <v>525.832553832848</v>
      </c>
      <c r="O3" s="4">
        <v>431.313660043604</v>
      </c>
      <c r="P3" s="4">
        <v>375.206763931594</v>
      </c>
      <c r="Q3" s="4">
        <v>166.249633960601</v>
      </c>
      <c r="R3" s="4">
        <v>37.8727694832122</v>
      </c>
      <c r="S3" s="4">
        <v>15.7094700040198</v>
      </c>
      <c r="T3" s="4">
        <v>405.620333997344</v>
      </c>
      <c r="U3" s="5"/>
    </row>
    <row r="4" spans="1:21">
      <c r="A4" s="3"/>
      <c r="B4" s="1" t="s">
        <v>21</v>
      </c>
      <c r="C4" s="4">
        <v>0.524205664488017</v>
      </c>
      <c r="D4" s="4">
        <v>624.255490242125</v>
      </c>
      <c r="E4" s="4">
        <v>546.553955373282</v>
      </c>
      <c r="F4" s="4">
        <v>129.657354139609</v>
      </c>
      <c r="G4" s="4">
        <v>198.235744431155</v>
      </c>
      <c r="H4" s="4">
        <v>295.25032082899</v>
      </c>
      <c r="I4" s="4">
        <v>67.430550219105</v>
      </c>
      <c r="J4" s="4">
        <v>129.657354139609</v>
      </c>
      <c r="K4" s="4">
        <v>33.2755764941291</v>
      </c>
      <c r="L4" s="4">
        <v>481.542496001831</v>
      </c>
      <c r="M4" s="4">
        <v>0.524205664488017</v>
      </c>
      <c r="N4" s="4">
        <v>624.255490242125</v>
      </c>
      <c r="O4" s="4">
        <v>546.553955373282</v>
      </c>
      <c r="P4" s="4">
        <v>517.620758904643</v>
      </c>
      <c r="Q4" s="4">
        <v>295.25032082899</v>
      </c>
      <c r="R4" s="4">
        <v>53.8752380487591</v>
      </c>
      <c r="S4" s="4">
        <v>32.9767039451096</v>
      </c>
      <c r="T4" s="4">
        <v>481.542496001831</v>
      </c>
      <c r="U4" s="5"/>
    </row>
    <row r="5" spans="3:21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3" t="s">
        <v>22</v>
      </c>
      <c r="B6" s="1" t="s">
        <v>19</v>
      </c>
      <c r="C6" s="4">
        <v>0.496821786492374</v>
      </c>
      <c r="D6" s="4">
        <v>796.58337609268</v>
      </c>
      <c r="E6" s="4">
        <v>338.281555997334</v>
      </c>
      <c r="F6" s="4">
        <v>109.7818291957</v>
      </c>
      <c r="G6" s="4">
        <v>141.426739867396</v>
      </c>
      <c r="H6" s="4">
        <v>258.399766675242</v>
      </c>
      <c r="I6" s="4">
        <v>79.2660849109692</v>
      </c>
      <c r="J6" s="4">
        <v>109.7818291957</v>
      </c>
      <c r="K6" s="4">
        <v>8.82308105180094</v>
      </c>
      <c r="L6" s="4">
        <v>699.797926541609</v>
      </c>
      <c r="M6" s="4">
        <v>0.496821786492374</v>
      </c>
      <c r="N6" s="4">
        <v>796.58337609268</v>
      </c>
      <c r="O6" s="4">
        <v>338.281555997334</v>
      </c>
      <c r="P6" s="4">
        <v>292.977316162035</v>
      </c>
      <c r="Q6" s="4">
        <v>258.399766675242</v>
      </c>
      <c r="R6" s="4">
        <v>15.6002750533157</v>
      </c>
      <c r="S6" s="4">
        <v>9.49750915637609</v>
      </c>
      <c r="T6" s="4">
        <v>699.797926541609</v>
      </c>
      <c r="U6" s="5"/>
    </row>
    <row r="7" s="1" customFormat="1" spans="1:21">
      <c r="A7" s="3"/>
      <c r="B7" s="1" t="s">
        <v>20</v>
      </c>
      <c r="C7" s="4">
        <v>0.376176244008714</v>
      </c>
      <c r="D7" s="4">
        <v>494.812973875632</v>
      </c>
      <c r="E7" s="4">
        <v>306.594035003681</v>
      </c>
      <c r="F7" s="4">
        <v>105.844490291388</v>
      </c>
      <c r="G7" s="4">
        <v>122.581487049911</v>
      </c>
      <c r="H7" s="4">
        <v>165.402256563675</v>
      </c>
      <c r="I7" s="4">
        <v>75.5155927143995</v>
      </c>
      <c r="J7" s="4">
        <v>105.844490291388</v>
      </c>
      <c r="K7" s="4">
        <v>57.1394920842917</v>
      </c>
      <c r="L7" s="4">
        <v>434.69284388351</v>
      </c>
      <c r="M7" s="4">
        <v>0.376176244008714</v>
      </c>
      <c r="N7" s="4">
        <v>494.812973875632</v>
      </c>
      <c r="O7" s="4">
        <v>306.594035003681</v>
      </c>
      <c r="P7" s="4">
        <v>237.330332849064</v>
      </c>
      <c r="Q7" s="4">
        <v>165.402256563675</v>
      </c>
      <c r="R7" s="4">
        <v>8.55739530466103</v>
      </c>
      <c r="S7" s="4">
        <v>57.650145679063</v>
      </c>
      <c r="T7" s="4">
        <v>434.69284388351</v>
      </c>
      <c r="U7" s="5"/>
    </row>
    <row r="8" spans="1:21">
      <c r="A8" s="3"/>
      <c r="B8" s="1" t="s">
        <v>21</v>
      </c>
      <c r="C8" s="4">
        <v>0.524205664488017</v>
      </c>
      <c r="D8" s="4">
        <v>587.429806947797</v>
      </c>
      <c r="E8" s="4">
        <v>372.756990627751</v>
      </c>
      <c r="F8" s="4">
        <v>129.751469163419</v>
      </c>
      <c r="G8" s="4">
        <v>165.600492082029</v>
      </c>
      <c r="H8" s="4">
        <v>289.00518110753</v>
      </c>
      <c r="I8" s="4">
        <v>100.013659293358</v>
      </c>
      <c r="J8" s="4">
        <v>129.751469163419</v>
      </c>
      <c r="K8" s="4">
        <v>25.139387141913</v>
      </c>
      <c r="L8" s="4">
        <v>516.056665539776</v>
      </c>
      <c r="M8" s="4">
        <v>0.524205664488017</v>
      </c>
      <c r="N8" s="4">
        <v>587.429806947797</v>
      </c>
      <c r="O8" s="4">
        <v>372.756990627751</v>
      </c>
      <c r="P8" s="4">
        <v>325.504249747239</v>
      </c>
      <c r="Q8" s="4">
        <v>289.00518110753</v>
      </c>
      <c r="R8" s="4">
        <v>13.0206314424023</v>
      </c>
      <c r="S8" s="4">
        <v>25.8509884491025</v>
      </c>
      <c r="T8" s="4">
        <v>516.056665539776</v>
      </c>
      <c r="U8" s="5"/>
    </row>
  </sheetData>
  <mergeCells count="2">
    <mergeCell ref="A2:A4"/>
    <mergeCell ref="A6:A8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Each eVTOL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2025-11-12T03:21:45Z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4C25218DA6D74BDD9624CB6B86AD35B3_12</vt:lpwstr>
  </property>
  <property fmtid="{D5CDD505-2E9C-101B-9397-08002B2CF9AE}" pid="3" name="KSOProductBuildVer">
    <vt:lpwstr>1033-12.2.0.23155</vt:lpwstr>
  </property>
</Properties>
</file>