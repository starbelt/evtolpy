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1500 ft" sheetId="1" r:id="rId1"/>
    <sheet name="3000 ft" sheetId="2" r:id="rId2"/>
    <sheet name="All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<sst xmlns="http://schemas.openxmlformats.org/spreadsheetml/2006/main" count="188" uniqueCount="33">
  <si>
    <t>Depart Taxi</t>
  </si>
  <si>
    <t>Hover Climb</t>
  </si>
  <si>
    <t>Transition Climb</t>
  </si>
  <si>
    <t>Depart Procedures</t>
  </si>
  <si>
    <t>Accelerate Climb</t>
  </si>
  <si>
    <t>Cruise</t>
  </si>
  <si>
    <t>Decelerate Descend</t>
  </si>
  <si>
    <t>Arrive Procedures</t>
  </si>
  <si>
    <t>Transition Descend</t>
  </si>
  <si>
    <t>Hover Descend</t>
  </si>
  <si>
    <t>Arrive Taxi</t>
  </si>
  <si>
    <t>Reserve Hover Climb</t>
  </si>
  <si>
    <t>Reserve Transition Climb</t>
  </si>
  <si>
    <t>Reserve Accelerate Climb</t>
  </si>
  <si>
    <t>Reserve Cruise</t>
  </si>
  <si>
    <t>Reserve Decelerate Descend</t>
  </si>
  <si>
    <t>Reserve Transition Descend</t>
  </si>
  <si>
    <t>Reserve Hover Descend</t>
  </si>
  <si>
    <t>30 miles</t>
  </si>
  <si>
    <t>Archer Midnight</t>
  </si>
  <si>
    <t>Joby S4</t>
  </si>
  <si>
    <t>Supernal S-A2</t>
  </si>
  <si>
    <t>45 miles</t>
  </si>
  <si>
    <t>60 miles</t>
  </si>
  <si>
    <t>Total energy</t>
  </si>
  <si>
    <t>TOTAL</t>
  </si>
  <si>
    <t>Cruise (30 mi)</t>
  </si>
  <si>
    <t>Cruise (45 mi)</t>
  </si>
  <si>
    <t>Cruise (60 mi)</t>
  </si>
  <si>
    <t>% Drop</t>
  </si>
  <si>
    <t>1500 ft</t>
  </si>
  <si>
    <t>3000 ft</t>
  </si>
  <si>
    <t>Mission Profile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</si>
</sst>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_ "/>
    <numFmt numFmtId="179" formatCode="0.0_ "/>
  </numFmts>
  <fonts count="2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7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6" borderId="17" applyNumberFormat="0" applyAlignment="0" applyProtection="0">
      <alignment vertical="center"/>
    </xf>
    <xf numFmtId="0" fontId="14" fillId="7" borderId="19" applyNumberFormat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3" applyAlignment="1"/>
    <xf numFmtId="0" fontId="0" fillId="0" borderId="0" xfId="0" applyFont="1" applyFill="1" applyAlignment="1">
      <alignment horizontal="center" vertical="center"/>
    </xf>
    <xf numFmtId="10" fontId="1" fillId="3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79" fontId="0" fillId="0" borderId="12" xfId="0" applyNumberFormat="1" applyBorder="1" applyAlignment="1">
      <alignment horizontal="center"/>
    </xf>
    <xf numFmtId="0" fontId="0" fillId="0" borderId="11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79" fontId="0" fillId="0" borderId="13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79" fontId="2" fillId="0" borderId="12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179" fontId="2" fillId="0" borderId="13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179" fontId="2" fillId="0" borderId="10" xfId="0" applyNumberFormat="1" applyFont="1" applyBorder="1" applyAlignment="1">
      <alignment horizontal="center"/>
    </xf>
    <xf numFmtId="179" fontId="0" fillId="3" borderId="13" xfId="0" applyNumberForma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179" fontId="0" fillId="0" borderId="10" xfId="0" applyNumberFormat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9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1" xfId="0" applyBorder="1"/>
    <xf numFmtId="0" fontId="0" fillId="0" borderId="13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/>
              <a:t>Mission Segment Energy</a:t>
            </a:r>
            <a:endParaRPr lang="vi-VN" altLang="en-US" sz="16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 b="0"/>
              <a:t>1500 ft - 30 mi</a:t>
            </a:r>
            <a:endParaRPr lang="vi-VN" altLang="en-US" sz="1600" b="0"/>
          </a:p>
        </c:rich>
      </c:tx>
      <c:layout>
        <c:manualLayout>
          <c:xMode val="edge"/>
          <c:yMode val="edge"/>
          <c:x val="0.349806825499034"/>
          <c:y val="0.01957851801495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'1500 ft'!$C$2:$T$2</c:f>
              <c:numCache>
                <c:formatCode>General</c:formatCode>
                <c:ptCount val="18"/>
                <c:pt idx="0">
                  <c:v>0.00414</c:v>
                </c:pt>
                <c:pt idx="1">
                  <c:v>1.410868</c:v>
                </c:pt>
                <c:pt idx="2">
                  <c:v>2.095849</c:v>
                </c:pt>
                <c:pt idx="3">
                  <c:v>0.548625</c:v>
                </c:pt>
                <c:pt idx="4">
                  <c:v>3.448231</c:v>
                </c:pt>
                <c:pt idx="5">
                  <c:v>40.956658</c:v>
                </c:pt>
                <c:pt idx="6">
                  <c:v>0.968789</c:v>
                </c:pt>
                <c:pt idx="7">
                  <c:v>0.548625</c:v>
                </c:pt>
                <c:pt idx="8">
                  <c:v>0.148021</c:v>
                </c:pt>
                <c:pt idx="9">
                  <c:v>1.088325</c:v>
                </c:pt>
                <c:pt idx="10">
                  <c:v>0.00414</c:v>
                </c:pt>
                <c:pt idx="11">
                  <c:v>1.410868</c:v>
                </c:pt>
                <c:pt idx="12">
                  <c:v>2.095849</c:v>
                </c:pt>
                <c:pt idx="13">
                  <c:v>1.583708</c:v>
                </c:pt>
                <c:pt idx="14">
                  <c:v>8.220691</c:v>
                </c:pt>
                <c:pt idx="15">
                  <c:v>0.181031</c:v>
                </c:pt>
                <c:pt idx="16">
                  <c:v>0.146841</c:v>
                </c:pt>
                <c:pt idx="17">
                  <c:v>1.088325</c:v>
                </c:pt>
              </c:numCache>
            </c:numRef>
          </c:val>
        </c:ser>
        <c:ser>
          <c:idx val="1"/>
          <c:order val="1"/>
          <c:tx>
            <c:strRef>
              <c:f>"Joby S4"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'1500 ft'!$C$3:$T$3</c:f>
              <c:numCache>
                <c:formatCode>General</c:formatCode>
                <c:ptCount val="18"/>
                <c:pt idx="0">
                  <c:v>0.003135</c:v>
                </c:pt>
                <c:pt idx="1">
                  <c:v>0.876388</c:v>
                </c:pt>
                <c:pt idx="2">
                  <c:v>1.79714</c:v>
                </c:pt>
                <c:pt idx="3">
                  <c:v>0.528918</c:v>
                </c:pt>
                <c:pt idx="4">
                  <c:v>2.920245</c:v>
                </c:pt>
                <c:pt idx="5">
                  <c:v>25.768693</c:v>
                </c:pt>
                <c:pt idx="6">
                  <c:v>1.042898</c:v>
                </c:pt>
                <c:pt idx="7">
                  <c:v>0.528918</c:v>
                </c:pt>
                <c:pt idx="8">
                  <c:v>0.06635</c:v>
                </c:pt>
                <c:pt idx="9">
                  <c:v>0.676034</c:v>
                </c:pt>
                <c:pt idx="10">
                  <c:v>0.003135</c:v>
                </c:pt>
                <c:pt idx="11">
                  <c:v>0.876388</c:v>
                </c:pt>
                <c:pt idx="12">
                  <c:v>1.79714</c:v>
                </c:pt>
                <c:pt idx="13">
                  <c:v>1.250689</c:v>
                </c:pt>
                <c:pt idx="14">
                  <c:v>5.172211</c:v>
                </c:pt>
                <c:pt idx="15">
                  <c:v>0.126243</c:v>
                </c:pt>
                <c:pt idx="16">
                  <c:v>0.065456</c:v>
                </c:pt>
                <c:pt idx="17">
                  <c:v>0.676034</c:v>
                </c:pt>
              </c:numCache>
            </c:numRef>
          </c:val>
        </c:ser>
        <c:ser>
          <c:idx val="2"/>
          <c:order val="2"/>
          <c:tx>
            <c:strRef>
              <c:f>"Supernal S-A2"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'1500 ft'!$C$4:$T$4</c:f>
              <c:numCache>
                <c:formatCode>General</c:formatCode>
                <c:ptCount val="18"/>
                <c:pt idx="0">
                  <c:v>0.004368</c:v>
                </c:pt>
                <c:pt idx="1">
                  <c:v>1.040426</c:v>
                </c:pt>
                <c:pt idx="2">
                  <c:v>2.277308</c:v>
                </c:pt>
                <c:pt idx="3">
                  <c:v>0.648287</c:v>
                </c:pt>
                <c:pt idx="4">
                  <c:v>3.964715</c:v>
                </c:pt>
                <c:pt idx="5">
                  <c:v>45.7638</c:v>
                </c:pt>
                <c:pt idx="6">
                  <c:v>1.348611</c:v>
                </c:pt>
                <c:pt idx="7">
                  <c:v>0.648287</c:v>
                </c:pt>
                <c:pt idx="8">
                  <c:v>0.138648</c:v>
                </c:pt>
                <c:pt idx="9">
                  <c:v>0.802571</c:v>
                </c:pt>
                <c:pt idx="10">
                  <c:v>0.004368</c:v>
                </c:pt>
                <c:pt idx="11">
                  <c:v>1.040426</c:v>
                </c:pt>
                <c:pt idx="12">
                  <c:v>2.277308</c:v>
                </c:pt>
                <c:pt idx="13">
                  <c:v>1.725403</c:v>
                </c:pt>
                <c:pt idx="14">
                  <c:v>9.185566</c:v>
                </c:pt>
                <c:pt idx="15">
                  <c:v>0.179584</c:v>
                </c:pt>
                <c:pt idx="16">
                  <c:v>0.137403</c:v>
                </c:pt>
                <c:pt idx="17">
                  <c:v>0.802571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8526186"/>
        <c:axId val="39651681"/>
      </c:barChart>
      <c:catAx>
        <c:axId val="12852618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400"/>
                  <a:t>Mission Segment</a:t>
                </a:r>
                <a:endParaRPr lang="vi-VN" altLang="en-US" sz="1400"/>
              </a:p>
            </c:rich>
          </c:tx>
          <c:layout>
            <c:manualLayout>
              <c:xMode val="edge"/>
              <c:yMode val="edge"/>
              <c:x val="0.41184803605924"/>
              <c:y val="0.84935418082936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651681"/>
        <c:crosses val="autoZero"/>
        <c:auto val="1"/>
        <c:lblAlgn val="ctr"/>
        <c:lblOffset val="100"/>
        <c:noMultiLvlLbl val="0"/>
      </c:catAx>
      <c:valAx>
        <c:axId val="396516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 hr)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19124275595621"/>
              <c:y val="0.29288919102651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5261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14592723760464"/>
          <c:y val="0.91692726036709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022dfe-ae49-4803-bf69-c648dbeee27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/>
              <a:t>Mission Segment Energy</a:t>
            </a:r>
            <a:endParaRPr lang="vi-VN" altLang="en-US" sz="16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 b="0"/>
              <a:t>1500 ft - 45 mi</a:t>
            </a:r>
            <a:endParaRPr lang="vi-VN" altLang="en-US" sz="1600" b="0"/>
          </a:p>
        </c:rich>
      </c:tx>
      <c:layout>
        <c:manualLayout>
          <c:xMode val="edge"/>
          <c:yMode val="edge"/>
          <c:x val="0.349806825499034"/>
          <c:y val="0.01957851801495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'1500 ft'!$B$2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'1500 ft'!$C$6:$T$6</c:f>
              <c:numCache>
                <c:formatCode>General</c:formatCode>
                <c:ptCount val="18"/>
                <c:pt idx="0">
                  <c:v>0.00414</c:v>
                </c:pt>
                <c:pt idx="1">
                  <c:v>1.410868</c:v>
                </c:pt>
                <c:pt idx="2">
                  <c:v>2.095849</c:v>
                </c:pt>
                <c:pt idx="3">
                  <c:v>0.548625</c:v>
                </c:pt>
                <c:pt idx="4">
                  <c:v>3.448231</c:v>
                </c:pt>
                <c:pt idx="5">
                  <c:v>67.380308</c:v>
                </c:pt>
                <c:pt idx="6">
                  <c:v>0.968789</c:v>
                </c:pt>
                <c:pt idx="7">
                  <c:v>0.548625</c:v>
                </c:pt>
                <c:pt idx="8">
                  <c:v>0.148021</c:v>
                </c:pt>
                <c:pt idx="9">
                  <c:v>1.088325</c:v>
                </c:pt>
                <c:pt idx="10">
                  <c:v>0.00414</c:v>
                </c:pt>
                <c:pt idx="11">
                  <c:v>1.410868</c:v>
                </c:pt>
                <c:pt idx="12">
                  <c:v>2.095849</c:v>
                </c:pt>
                <c:pt idx="13">
                  <c:v>1.583708</c:v>
                </c:pt>
                <c:pt idx="14">
                  <c:v>8.220691</c:v>
                </c:pt>
                <c:pt idx="15">
                  <c:v>0.181031</c:v>
                </c:pt>
                <c:pt idx="16">
                  <c:v>0.146841</c:v>
                </c:pt>
                <c:pt idx="17">
                  <c:v>1.088325</c:v>
                </c:pt>
              </c:numCache>
            </c:numRef>
          </c:val>
        </c:ser>
        <c:ser>
          <c:idx val="1"/>
          <c:order val="1"/>
          <c:tx>
            <c:strRef>
              <c:f>'1500 ft'!$B$7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'1500 ft'!$C$7:$T$7</c:f>
              <c:numCache>
                <c:formatCode>General</c:formatCode>
                <c:ptCount val="18"/>
                <c:pt idx="0">
                  <c:v>0.003135</c:v>
                </c:pt>
                <c:pt idx="1">
                  <c:v>0.876388</c:v>
                </c:pt>
                <c:pt idx="2">
                  <c:v>1.79714</c:v>
                </c:pt>
                <c:pt idx="3">
                  <c:v>0.528918</c:v>
                </c:pt>
                <c:pt idx="4">
                  <c:v>2.920245</c:v>
                </c:pt>
                <c:pt idx="5">
                  <c:v>42.393657</c:v>
                </c:pt>
                <c:pt idx="6">
                  <c:v>1.042898</c:v>
                </c:pt>
                <c:pt idx="7">
                  <c:v>0.528918</c:v>
                </c:pt>
                <c:pt idx="8">
                  <c:v>0.06635</c:v>
                </c:pt>
                <c:pt idx="9">
                  <c:v>0.676034</c:v>
                </c:pt>
                <c:pt idx="10">
                  <c:v>0.003135</c:v>
                </c:pt>
                <c:pt idx="11">
                  <c:v>0.876388</c:v>
                </c:pt>
                <c:pt idx="12">
                  <c:v>1.79714</c:v>
                </c:pt>
                <c:pt idx="13">
                  <c:v>1.250689</c:v>
                </c:pt>
                <c:pt idx="14">
                  <c:v>5.172211</c:v>
                </c:pt>
                <c:pt idx="15">
                  <c:v>0.126243</c:v>
                </c:pt>
                <c:pt idx="16">
                  <c:v>0.065456</c:v>
                </c:pt>
                <c:pt idx="17">
                  <c:v>0.676034</c:v>
                </c:pt>
              </c:numCache>
            </c:numRef>
          </c:val>
        </c:ser>
        <c:ser>
          <c:idx val="2"/>
          <c:order val="2"/>
          <c:tx>
            <c:strRef>
              <c:f>'1500 ft'!$B$8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'1500 ft'!$C$8:$T$8</c:f>
              <c:numCache>
                <c:formatCode>General</c:formatCode>
                <c:ptCount val="18"/>
                <c:pt idx="0">
                  <c:v>0.004368</c:v>
                </c:pt>
                <c:pt idx="1">
                  <c:v>1.040426</c:v>
                </c:pt>
                <c:pt idx="2">
                  <c:v>2.277308</c:v>
                </c:pt>
                <c:pt idx="3">
                  <c:v>0.648287</c:v>
                </c:pt>
                <c:pt idx="4">
                  <c:v>3.964715</c:v>
                </c:pt>
                <c:pt idx="5">
                  <c:v>75.288832</c:v>
                </c:pt>
                <c:pt idx="6">
                  <c:v>1.348611</c:v>
                </c:pt>
                <c:pt idx="7">
                  <c:v>0.648287</c:v>
                </c:pt>
                <c:pt idx="8">
                  <c:v>0.138648</c:v>
                </c:pt>
                <c:pt idx="9">
                  <c:v>0.802571</c:v>
                </c:pt>
                <c:pt idx="10">
                  <c:v>0.004368</c:v>
                </c:pt>
                <c:pt idx="11">
                  <c:v>1.040426</c:v>
                </c:pt>
                <c:pt idx="12">
                  <c:v>2.277308</c:v>
                </c:pt>
                <c:pt idx="13">
                  <c:v>1.725403</c:v>
                </c:pt>
                <c:pt idx="14">
                  <c:v>9.185566</c:v>
                </c:pt>
                <c:pt idx="15">
                  <c:v>0.179584</c:v>
                </c:pt>
                <c:pt idx="16">
                  <c:v>0.137403</c:v>
                </c:pt>
                <c:pt idx="17">
                  <c:v>0.802571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8526186"/>
        <c:axId val="39651681"/>
      </c:barChart>
      <c:catAx>
        <c:axId val="12852618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400"/>
                  <a:t>Mission Segment</a:t>
                </a:r>
                <a:endParaRPr lang="vi-VN" altLang="en-US" sz="1400"/>
              </a:p>
            </c:rich>
          </c:tx>
          <c:layout>
            <c:manualLayout>
              <c:xMode val="edge"/>
              <c:yMode val="edge"/>
              <c:x val="0.41184803605924"/>
              <c:y val="0.84935418082936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651681"/>
        <c:crosses val="autoZero"/>
        <c:auto val="1"/>
        <c:lblAlgn val="ctr"/>
        <c:lblOffset val="100"/>
        <c:noMultiLvlLbl val="0"/>
      </c:catAx>
      <c:valAx>
        <c:axId val="396516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 hr)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19124275595621"/>
              <c:y val="0.29288919102651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5261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03273601600808"/>
          <c:y val="0.91469368364915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022dfe-ae49-4803-bf69-c648dbeee27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/>
              <a:t>Mission Segment Energy</a:t>
            </a:r>
            <a:endParaRPr lang="vi-VN" altLang="en-US" sz="16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 b="0"/>
              <a:t>1500 ft - 60 mi</a:t>
            </a:r>
            <a:endParaRPr lang="vi-VN" altLang="en-US" sz="1600" b="0"/>
          </a:p>
        </c:rich>
      </c:tx>
      <c:layout>
        <c:manualLayout>
          <c:xMode val="edge"/>
          <c:yMode val="edge"/>
          <c:x val="0.349806825499034"/>
          <c:y val="0.01957851801495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'1500 ft'!$B$10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'1500 ft'!$C$10:$T$10</c:f>
              <c:numCache>
                <c:formatCode>General</c:formatCode>
                <c:ptCount val="18"/>
                <c:pt idx="0">
                  <c:v>0.00414</c:v>
                </c:pt>
                <c:pt idx="1">
                  <c:v>1.410868</c:v>
                </c:pt>
                <c:pt idx="2">
                  <c:v>2.095849</c:v>
                </c:pt>
                <c:pt idx="3">
                  <c:v>0.548625</c:v>
                </c:pt>
                <c:pt idx="4">
                  <c:v>3.448231</c:v>
                </c:pt>
                <c:pt idx="5">
                  <c:v>93.803958</c:v>
                </c:pt>
                <c:pt idx="6">
                  <c:v>0.968789</c:v>
                </c:pt>
                <c:pt idx="7">
                  <c:v>0.548625</c:v>
                </c:pt>
                <c:pt idx="8">
                  <c:v>0.148021</c:v>
                </c:pt>
                <c:pt idx="9">
                  <c:v>1.088325</c:v>
                </c:pt>
                <c:pt idx="10">
                  <c:v>0.00414</c:v>
                </c:pt>
                <c:pt idx="11">
                  <c:v>1.410868</c:v>
                </c:pt>
                <c:pt idx="12">
                  <c:v>2.095849</c:v>
                </c:pt>
                <c:pt idx="13">
                  <c:v>1.583708</c:v>
                </c:pt>
                <c:pt idx="14">
                  <c:v>8.220691</c:v>
                </c:pt>
                <c:pt idx="15">
                  <c:v>0.181031</c:v>
                </c:pt>
                <c:pt idx="16">
                  <c:v>0.146841</c:v>
                </c:pt>
                <c:pt idx="17">
                  <c:v>1.088325</c:v>
                </c:pt>
              </c:numCache>
            </c:numRef>
          </c:val>
        </c:ser>
        <c:ser>
          <c:idx val="1"/>
          <c:order val="1"/>
          <c:tx>
            <c:strRef>
              <c:f>'1500 ft'!$B$11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'1500 ft'!$C$11:$T$11</c:f>
              <c:numCache>
                <c:formatCode>General</c:formatCode>
                <c:ptCount val="18"/>
                <c:pt idx="0">
                  <c:v>0.003135</c:v>
                </c:pt>
                <c:pt idx="1">
                  <c:v>0.876388</c:v>
                </c:pt>
                <c:pt idx="2">
                  <c:v>1.79714</c:v>
                </c:pt>
                <c:pt idx="3">
                  <c:v>0.528918</c:v>
                </c:pt>
                <c:pt idx="4">
                  <c:v>2.920245</c:v>
                </c:pt>
                <c:pt idx="5">
                  <c:v>59.01862</c:v>
                </c:pt>
                <c:pt idx="6">
                  <c:v>1.042898</c:v>
                </c:pt>
                <c:pt idx="7">
                  <c:v>0.528918</c:v>
                </c:pt>
                <c:pt idx="8">
                  <c:v>0.06635</c:v>
                </c:pt>
                <c:pt idx="9">
                  <c:v>0.676034</c:v>
                </c:pt>
                <c:pt idx="10">
                  <c:v>0.003135</c:v>
                </c:pt>
                <c:pt idx="11">
                  <c:v>0.876388</c:v>
                </c:pt>
                <c:pt idx="12">
                  <c:v>1.79714</c:v>
                </c:pt>
                <c:pt idx="13">
                  <c:v>1.250689</c:v>
                </c:pt>
                <c:pt idx="14">
                  <c:v>5.172211</c:v>
                </c:pt>
                <c:pt idx="15">
                  <c:v>0.126243</c:v>
                </c:pt>
                <c:pt idx="16">
                  <c:v>0.065456</c:v>
                </c:pt>
                <c:pt idx="17">
                  <c:v>0.676034</c:v>
                </c:pt>
              </c:numCache>
            </c:numRef>
          </c:val>
        </c:ser>
        <c:ser>
          <c:idx val="2"/>
          <c:order val="2"/>
          <c:tx>
            <c:strRef>
              <c:f>'1500 ft'!$B$12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'1500 ft'!$C$12:$T$12</c:f>
              <c:numCache>
                <c:formatCode>General</c:formatCode>
                <c:ptCount val="18"/>
                <c:pt idx="0">
                  <c:v>0.004368</c:v>
                </c:pt>
                <c:pt idx="1">
                  <c:v>1.040426</c:v>
                </c:pt>
                <c:pt idx="2">
                  <c:v>2.277308</c:v>
                </c:pt>
                <c:pt idx="3">
                  <c:v>0.648287</c:v>
                </c:pt>
                <c:pt idx="4">
                  <c:v>3.964715</c:v>
                </c:pt>
                <c:pt idx="5">
                  <c:v>104.813864</c:v>
                </c:pt>
                <c:pt idx="6">
                  <c:v>1.348611</c:v>
                </c:pt>
                <c:pt idx="7">
                  <c:v>0.648287</c:v>
                </c:pt>
                <c:pt idx="8">
                  <c:v>0.138648</c:v>
                </c:pt>
                <c:pt idx="9">
                  <c:v>0.802571</c:v>
                </c:pt>
                <c:pt idx="10">
                  <c:v>0.004368</c:v>
                </c:pt>
                <c:pt idx="11">
                  <c:v>1.040426</c:v>
                </c:pt>
                <c:pt idx="12">
                  <c:v>2.277308</c:v>
                </c:pt>
                <c:pt idx="13">
                  <c:v>1.725403</c:v>
                </c:pt>
                <c:pt idx="14">
                  <c:v>9.185566</c:v>
                </c:pt>
                <c:pt idx="15">
                  <c:v>0.179584</c:v>
                </c:pt>
                <c:pt idx="16">
                  <c:v>0.137403</c:v>
                </c:pt>
                <c:pt idx="17">
                  <c:v>0.802571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8526186"/>
        <c:axId val="39651681"/>
      </c:barChart>
      <c:catAx>
        <c:axId val="12852618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400"/>
                  <a:t>Mission Segment</a:t>
                </a:r>
                <a:endParaRPr lang="vi-VN" altLang="en-US" sz="1400"/>
              </a:p>
            </c:rich>
          </c:tx>
          <c:layout>
            <c:manualLayout>
              <c:xMode val="edge"/>
              <c:yMode val="edge"/>
              <c:x val="0.41184803605924"/>
              <c:y val="0.84935418082936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651681"/>
        <c:crosses val="autoZero"/>
        <c:auto val="1"/>
        <c:lblAlgn val="ctr"/>
        <c:lblOffset val="100"/>
        <c:noMultiLvlLbl val="0"/>
      </c:catAx>
      <c:valAx>
        <c:axId val="3965168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 hr)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19124275595621"/>
              <c:y val="0.29288919102651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5261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14592723760464"/>
          <c:y val="0.91464354193614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022dfe-ae49-4803-bf69-c648dbeee27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Mission Segment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 b="0"/>
              <a:t>1500 ft</a:t>
            </a:r>
            <a:endParaRPr sz="1800" b="0"/>
          </a:p>
        </c:rich>
      </c:tx>
      <c:layout>
        <c:manualLayout>
          <c:xMode val="edge"/>
          <c:yMode val="edge"/>
          <c:x val="0.379917933864349"/>
          <c:y val="0.018585430484332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64031907179115"/>
          <c:y val="0.173320615887723"/>
          <c:w val="0.907643219724438"/>
          <c:h val="0.379479493118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'1500 ft'!$U$40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'1500 ft'!$U$41:$U$60</c:f>
              <c:numCache>
                <c:formatCode>General</c:formatCode>
                <c:ptCount val="20"/>
                <c:pt idx="0">
                  <c:v>0.00414</c:v>
                </c:pt>
                <c:pt idx="1">
                  <c:v>1.410868</c:v>
                </c:pt>
                <c:pt idx="2">
                  <c:v>2.095849</c:v>
                </c:pt>
                <c:pt idx="3">
                  <c:v>0.548625</c:v>
                </c:pt>
                <c:pt idx="4">
                  <c:v>3.448231</c:v>
                </c:pt>
                <c:pt idx="5">
                  <c:v>40.956658</c:v>
                </c:pt>
                <c:pt idx="6">
                  <c:v>67.380308</c:v>
                </c:pt>
                <c:pt idx="7">
                  <c:v>93.803958</c:v>
                </c:pt>
                <c:pt idx="8">
                  <c:v>0.968789</c:v>
                </c:pt>
                <c:pt idx="9">
                  <c:v>0.548625</c:v>
                </c:pt>
                <c:pt idx="10">
                  <c:v>0.148021</c:v>
                </c:pt>
                <c:pt idx="11">
                  <c:v>1.088325</c:v>
                </c:pt>
                <c:pt idx="12">
                  <c:v>0.00414</c:v>
                </c:pt>
                <c:pt idx="13">
                  <c:v>1.410868</c:v>
                </c:pt>
                <c:pt idx="14">
                  <c:v>2.095849</c:v>
                </c:pt>
                <c:pt idx="15">
                  <c:v>1.583708</c:v>
                </c:pt>
                <c:pt idx="16">
                  <c:v>8.220691</c:v>
                </c:pt>
                <c:pt idx="17">
                  <c:v>0.181031</c:v>
                </c:pt>
                <c:pt idx="18">
                  <c:v>0.146841</c:v>
                </c:pt>
                <c:pt idx="19">
                  <c:v>1.088325</c:v>
                </c:pt>
              </c:numCache>
            </c:numRef>
          </c:val>
        </c:ser>
        <c:ser>
          <c:idx val="1"/>
          <c:order val="1"/>
          <c:tx>
            <c:strRef>
              <c:f>'1500 ft'!$V$40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'1500 ft'!$V$41:$V$60</c:f>
              <c:numCache>
                <c:formatCode>General</c:formatCode>
                <c:ptCount val="20"/>
                <c:pt idx="0">
                  <c:v>0.003135</c:v>
                </c:pt>
                <c:pt idx="1">
                  <c:v>0.876388</c:v>
                </c:pt>
                <c:pt idx="2">
                  <c:v>1.79714</c:v>
                </c:pt>
                <c:pt idx="3">
                  <c:v>0.528918</c:v>
                </c:pt>
                <c:pt idx="4">
                  <c:v>2.920245</c:v>
                </c:pt>
                <c:pt idx="5">
                  <c:v>25.768693</c:v>
                </c:pt>
                <c:pt idx="6">
                  <c:v>42.393657</c:v>
                </c:pt>
                <c:pt idx="7">
                  <c:v>59.01862</c:v>
                </c:pt>
                <c:pt idx="8">
                  <c:v>1.042898</c:v>
                </c:pt>
                <c:pt idx="9">
                  <c:v>0.528918</c:v>
                </c:pt>
                <c:pt idx="10">
                  <c:v>0.06635</c:v>
                </c:pt>
                <c:pt idx="11">
                  <c:v>0.676034</c:v>
                </c:pt>
                <c:pt idx="12">
                  <c:v>0.003135</c:v>
                </c:pt>
                <c:pt idx="13">
                  <c:v>0.876388</c:v>
                </c:pt>
                <c:pt idx="14">
                  <c:v>1.79714</c:v>
                </c:pt>
                <c:pt idx="15">
                  <c:v>1.250689</c:v>
                </c:pt>
                <c:pt idx="16">
                  <c:v>5.172211</c:v>
                </c:pt>
                <c:pt idx="17">
                  <c:v>0.126243</c:v>
                </c:pt>
                <c:pt idx="18">
                  <c:v>0.065456</c:v>
                </c:pt>
                <c:pt idx="19">
                  <c:v>0.676034</c:v>
                </c:pt>
              </c:numCache>
            </c:numRef>
          </c:val>
        </c:ser>
        <c:ser>
          <c:idx val="2"/>
          <c:order val="2"/>
          <c:tx>
            <c:strRef>
              <c:f>'1500 ft'!$W$40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'1500 ft'!$W$41:$W$60</c:f>
              <c:numCache>
                <c:formatCode>General</c:formatCode>
                <c:ptCount val="20"/>
                <c:pt idx="0">
                  <c:v>0.004368</c:v>
                </c:pt>
                <c:pt idx="1">
                  <c:v>1.040426</c:v>
                </c:pt>
                <c:pt idx="2">
                  <c:v>2.277308</c:v>
                </c:pt>
                <c:pt idx="3">
                  <c:v>0.648287</c:v>
                </c:pt>
                <c:pt idx="4">
                  <c:v>3.964715</c:v>
                </c:pt>
                <c:pt idx="5">
                  <c:v>45.7638</c:v>
                </c:pt>
                <c:pt idx="6">
                  <c:v>75.288832</c:v>
                </c:pt>
                <c:pt idx="7">
                  <c:v>104.813864</c:v>
                </c:pt>
                <c:pt idx="8">
                  <c:v>1.348611</c:v>
                </c:pt>
                <c:pt idx="9">
                  <c:v>0.648287</c:v>
                </c:pt>
                <c:pt idx="10">
                  <c:v>0.138648</c:v>
                </c:pt>
                <c:pt idx="11">
                  <c:v>0.802571</c:v>
                </c:pt>
                <c:pt idx="12">
                  <c:v>0.004368</c:v>
                </c:pt>
                <c:pt idx="13">
                  <c:v>1.040426</c:v>
                </c:pt>
                <c:pt idx="14">
                  <c:v>2.277308</c:v>
                </c:pt>
                <c:pt idx="15">
                  <c:v>1.725403</c:v>
                </c:pt>
                <c:pt idx="16">
                  <c:v>9.185566</c:v>
                </c:pt>
                <c:pt idx="17">
                  <c:v>0.179584</c:v>
                </c:pt>
                <c:pt idx="18">
                  <c:v>0.137403</c:v>
                </c:pt>
                <c:pt idx="19">
                  <c:v>0.802571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19840387"/>
        <c:axId val="144084049"/>
      </c:barChart>
      <c:catAx>
        <c:axId val="71984038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/>
                  <a:t>Mission Segment</a:t>
                </a:r>
                <a:endParaRPr sz="1600"/>
              </a:p>
            </c:rich>
          </c:tx>
          <c:layout>
            <c:manualLayout>
              <c:xMode val="edge"/>
              <c:yMode val="edge"/>
              <c:x val="0.416758295665141"/>
              <c:y val="0.852335708630245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084049"/>
        <c:crosses val="autoZero"/>
        <c:auto val="1"/>
        <c:lblAlgn val="ctr"/>
        <c:lblOffset val="100"/>
        <c:noMultiLvlLbl val="0"/>
      </c:catAx>
      <c:valAx>
        <c:axId val="14408404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 hr)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59744408945687"/>
              <c:y val="0.31282323299297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8403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29763287830381"/>
          <c:y val="0.91552844450338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1ebc11-a6d5-44a7-a163-6ed4b9ec03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/>
              <a:t>Mission Segment Energy</a:t>
            </a:r>
            <a:endParaRPr lang="vi-VN" altLang="en-US" sz="16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 b="0"/>
              <a:t>3000 ft - 30 mi</a:t>
            </a:r>
            <a:endParaRPr lang="vi-VN" altLang="en-US" sz="1600" b="0"/>
          </a:p>
        </c:rich>
      </c:tx>
      <c:layout>
        <c:manualLayout>
          <c:xMode val="edge"/>
          <c:yMode val="edge"/>
          <c:x val="0.349806825499034"/>
          <c:y val="0.01957851801495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'3000 ft'!$C$2:$T$2</c:f>
              <c:numCache>
                <c:formatCode>General</c:formatCode>
                <c:ptCount val="18"/>
                <c:pt idx="0">
                  <c:v>0.00414</c:v>
                </c:pt>
                <c:pt idx="1">
                  <c:v>2.655278</c:v>
                </c:pt>
                <c:pt idx="2">
                  <c:v>2.819013</c:v>
                </c:pt>
                <c:pt idx="3">
                  <c:v>0.548909</c:v>
                </c:pt>
                <c:pt idx="4">
                  <c:v>5.65707</c:v>
                </c:pt>
                <c:pt idx="5">
                  <c:v>30.361973</c:v>
                </c:pt>
                <c:pt idx="6">
                  <c:v>3.170643</c:v>
                </c:pt>
                <c:pt idx="7">
                  <c:v>0.548909</c:v>
                </c:pt>
                <c:pt idx="8">
                  <c:v>0.073526</c:v>
                </c:pt>
                <c:pt idx="9">
                  <c:v>2.33266</c:v>
                </c:pt>
                <c:pt idx="10">
                  <c:v>0.00414</c:v>
                </c:pt>
                <c:pt idx="11">
                  <c:v>2.655278</c:v>
                </c:pt>
                <c:pt idx="12">
                  <c:v>2.819013</c:v>
                </c:pt>
                <c:pt idx="13">
                  <c:v>1.953182</c:v>
                </c:pt>
                <c:pt idx="14">
                  <c:v>5.813995</c:v>
                </c:pt>
                <c:pt idx="15">
                  <c:v>0.104002</c:v>
                </c:pt>
                <c:pt idx="16">
                  <c:v>0.079146</c:v>
                </c:pt>
                <c:pt idx="17">
                  <c:v>2.33266</c:v>
                </c:pt>
              </c:numCache>
            </c:numRef>
          </c:val>
        </c:ser>
        <c:ser>
          <c:idx val="1"/>
          <c:order val="1"/>
          <c:tx>
            <c:strRef>
              <c:f>"Joby S4"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'3000 ft'!$C$3:$T$3</c:f>
              <c:numCache>
                <c:formatCode>General</c:formatCode>
                <c:ptCount val="18"/>
                <c:pt idx="0">
                  <c:v>0.003135</c:v>
                </c:pt>
                <c:pt idx="1">
                  <c:v>1.649377</c:v>
                </c:pt>
                <c:pt idx="2">
                  <c:v>2.55495</c:v>
                </c:pt>
                <c:pt idx="3">
                  <c:v>0.529222</c:v>
                </c:pt>
                <c:pt idx="4">
                  <c:v>4.903259</c:v>
                </c:pt>
                <c:pt idx="5">
                  <c:v>19.434765</c:v>
                </c:pt>
                <c:pt idx="6">
                  <c:v>3.020624</c:v>
                </c:pt>
                <c:pt idx="7">
                  <c:v>0.529222</c:v>
                </c:pt>
                <c:pt idx="8">
                  <c:v>0.476162</c:v>
                </c:pt>
                <c:pt idx="9">
                  <c:v>1.448976</c:v>
                </c:pt>
                <c:pt idx="10">
                  <c:v>0.003135</c:v>
                </c:pt>
                <c:pt idx="11">
                  <c:v>1.649377</c:v>
                </c:pt>
                <c:pt idx="12">
                  <c:v>2.55495</c:v>
                </c:pt>
                <c:pt idx="13">
                  <c:v>1.582202</c:v>
                </c:pt>
                <c:pt idx="14">
                  <c:v>3.721551</c:v>
                </c:pt>
                <c:pt idx="15">
                  <c:v>0.057049</c:v>
                </c:pt>
                <c:pt idx="16">
                  <c:v>0.480418</c:v>
                </c:pt>
                <c:pt idx="17">
                  <c:v>1.448976</c:v>
                </c:pt>
              </c:numCache>
            </c:numRef>
          </c:val>
        </c:ser>
        <c:ser>
          <c:idx val="2"/>
          <c:order val="2"/>
          <c:tx>
            <c:strRef>
              <c:f>"Supernal S-A2"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'3000 ft'!$C$4:$T$4</c:f>
              <c:numCache>
                <c:formatCode>General</c:formatCode>
                <c:ptCount val="18"/>
                <c:pt idx="0">
                  <c:v>0.004368</c:v>
                </c:pt>
                <c:pt idx="1">
                  <c:v>1.958099</c:v>
                </c:pt>
                <c:pt idx="2">
                  <c:v>3.106308</c:v>
                </c:pt>
                <c:pt idx="3">
                  <c:v>0.648757</c:v>
                </c:pt>
                <c:pt idx="4">
                  <c:v>6.62402</c:v>
                </c:pt>
                <c:pt idx="5">
                  <c:v>33.958109</c:v>
                </c:pt>
                <c:pt idx="6">
                  <c:v>4.000546</c:v>
                </c:pt>
                <c:pt idx="7">
                  <c:v>0.648757</c:v>
                </c:pt>
                <c:pt idx="8">
                  <c:v>0.209495</c:v>
                </c:pt>
                <c:pt idx="9">
                  <c:v>1.720189</c:v>
                </c:pt>
                <c:pt idx="10">
                  <c:v>0.004368</c:v>
                </c:pt>
                <c:pt idx="11">
                  <c:v>1.958099</c:v>
                </c:pt>
                <c:pt idx="12">
                  <c:v>3.106308</c:v>
                </c:pt>
                <c:pt idx="13">
                  <c:v>2.170028</c:v>
                </c:pt>
                <c:pt idx="14">
                  <c:v>6.502617</c:v>
                </c:pt>
                <c:pt idx="15">
                  <c:v>0.086804</c:v>
                </c:pt>
                <c:pt idx="16">
                  <c:v>0.215425</c:v>
                </c:pt>
                <c:pt idx="17">
                  <c:v>1.720189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8526186"/>
        <c:axId val="39651681"/>
      </c:barChart>
      <c:catAx>
        <c:axId val="12852618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400"/>
                  <a:t>Mission Segment</a:t>
                </a:r>
                <a:endParaRPr lang="vi-VN" altLang="en-US" sz="1400"/>
              </a:p>
            </c:rich>
          </c:tx>
          <c:layout>
            <c:manualLayout>
              <c:xMode val="edge"/>
              <c:yMode val="edge"/>
              <c:x val="0.41184803605924"/>
              <c:y val="0.84935418082936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651681"/>
        <c:crosses val="autoZero"/>
        <c:auto val="1"/>
        <c:lblAlgn val="ctr"/>
        <c:lblOffset val="100"/>
        <c:noMultiLvlLbl val="0"/>
      </c:catAx>
      <c:valAx>
        <c:axId val="396516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 hr)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19124275595621"/>
              <c:y val="0.29288919102651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5261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14592723760464"/>
          <c:y val="0.91692726036709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022dfe-ae49-4803-bf69-c648dbeee27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/>
              <a:t>Mission Segment Energy</a:t>
            </a:r>
            <a:endParaRPr lang="vi-VN" altLang="en-US" sz="16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 b="0"/>
              <a:t>3000 ft - 45 mi</a:t>
            </a:r>
            <a:endParaRPr lang="vi-VN" altLang="en-US" sz="1600" b="0"/>
          </a:p>
        </c:rich>
      </c:tx>
      <c:layout>
        <c:manualLayout>
          <c:xMode val="edge"/>
          <c:yMode val="edge"/>
          <c:x val="0.349806825499034"/>
          <c:y val="0.01957851801495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'3000 ft'!$B$2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'3000 ft'!$C$6:$T$6</c:f>
              <c:numCache>
                <c:formatCode>General</c:formatCode>
                <c:ptCount val="18"/>
                <c:pt idx="0">
                  <c:v>0.00414</c:v>
                </c:pt>
                <c:pt idx="1">
                  <c:v>2.655278</c:v>
                </c:pt>
                <c:pt idx="2">
                  <c:v>2.819013</c:v>
                </c:pt>
                <c:pt idx="3">
                  <c:v>0.548909</c:v>
                </c:pt>
                <c:pt idx="4">
                  <c:v>5.65707</c:v>
                </c:pt>
                <c:pt idx="5">
                  <c:v>56.201949</c:v>
                </c:pt>
                <c:pt idx="6">
                  <c:v>3.170643</c:v>
                </c:pt>
                <c:pt idx="7">
                  <c:v>0.548909</c:v>
                </c:pt>
                <c:pt idx="8">
                  <c:v>0.073526</c:v>
                </c:pt>
                <c:pt idx="9">
                  <c:v>2.33266</c:v>
                </c:pt>
                <c:pt idx="10">
                  <c:v>0.00414</c:v>
                </c:pt>
                <c:pt idx="11">
                  <c:v>2.655278</c:v>
                </c:pt>
                <c:pt idx="12">
                  <c:v>2.819013</c:v>
                </c:pt>
                <c:pt idx="13">
                  <c:v>1.953182</c:v>
                </c:pt>
                <c:pt idx="14">
                  <c:v>5.813995</c:v>
                </c:pt>
                <c:pt idx="15">
                  <c:v>0.104002</c:v>
                </c:pt>
                <c:pt idx="16">
                  <c:v>0.079146</c:v>
                </c:pt>
                <c:pt idx="17">
                  <c:v>2.33266</c:v>
                </c:pt>
              </c:numCache>
            </c:numRef>
          </c:val>
        </c:ser>
        <c:ser>
          <c:idx val="1"/>
          <c:order val="1"/>
          <c:tx>
            <c:strRef>
              <c:f>'3000 ft'!$B$7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'3000 ft'!$C$7:$T$7</c:f>
              <c:numCache>
                <c:formatCode>General</c:formatCode>
                <c:ptCount val="18"/>
                <c:pt idx="0">
                  <c:v>0.003135</c:v>
                </c:pt>
                <c:pt idx="1">
                  <c:v>1.649377</c:v>
                </c:pt>
                <c:pt idx="2">
                  <c:v>2.55495</c:v>
                </c:pt>
                <c:pt idx="3">
                  <c:v>0.529222</c:v>
                </c:pt>
                <c:pt idx="4">
                  <c:v>4.903259</c:v>
                </c:pt>
                <c:pt idx="5">
                  <c:v>35.974991</c:v>
                </c:pt>
                <c:pt idx="6">
                  <c:v>3.020624</c:v>
                </c:pt>
                <c:pt idx="7">
                  <c:v>0.529222</c:v>
                </c:pt>
                <c:pt idx="8">
                  <c:v>0.476162</c:v>
                </c:pt>
                <c:pt idx="9">
                  <c:v>1.448976</c:v>
                </c:pt>
                <c:pt idx="10">
                  <c:v>0.003135</c:v>
                </c:pt>
                <c:pt idx="11">
                  <c:v>1.649377</c:v>
                </c:pt>
                <c:pt idx="12">
                  <c:v>2.55495</c:v>
                </c:pt>
                <c:pt idx="13">
                  <c:v>1.582202</c:v>
                </c:pt>
                <c:pt idx="14">
                  <c:v>3.721551</c:v>
                </c:pt>
                <c:pt idx="15">
                  <c:v>0.057049</c:v>
                </c:pt>
                <c:pt idx="16">
                  <c:v>0.480418</c:v>
                </c:pt>
                <c:pt idx="17">
                  <c:v>1.448976</c:v>
                </c:pt>
              </c:numCache>
            </c:numRef>
          </c:val>
        </c:ser>
        <c:ser>
          <c:idx val="2"/>
          <c:order val="2"/>
          <c:tx>
            <c:strRef>
              <c:f>'3000 ft'!$B$8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'3000 ft'!$C$8:$T$8</c:f>
              <c:numCache>
                <c:formatCode>General</c:formatCode>
                <c:ptCount val="18"/>
                <c:pt idx="0">
                  <c:v>0.004368</c:v>
                </c:pt>
                <c:pt idx="1">
                  <c:v>1.958099</c:v>
                </c:pt>
                <c:pt idx="2">
                  <c:v>3.106308</c:v>
                </c:pt>
                <c:pt idx="3">
                  <c:v>0.648757</c:v>
                </c:pt>
                <c:pt idx="4">
                  <c:v>6.62402</c:v>
                </c:pt>
                <c:pt idx="5">
                  <c:v>62.858627</c:v>
                </c:pt>
                <c:pt idx="6">
                  <c:v>4.000546</c:v>
                </c:pt>
                <c:pt idx="7">
                  <c:v>0.648757</c:v>
                </c:pt>
                <c:pt idx="8">
                  <c:v>0.209495</c:v>
                </c:pt>
                <c:pt idx="9">
                  <c:v>1.720189</c:v>
                </c:pt>
                <c:pt idx="10">
                  <c:v>0.004368</c:v>
                </c:pt>
                <c:pt idx="11">
                  <c:v>1.958099</c:v>
                </c:pt>
                <c:pt idx="12">
                  <c:v>3.106308</c:v>
                </c:pt>
                <c:pt idx="13">
                  <c:v>2.170028</c:v>
                </c:pt>
                <c:pt idx="14">
                  <c:v>6.502617</c:v>
                </c:pt>
                <c:pt idx="15">
                  <c:v>0.086804</c:v>
                </c:pt>
                <c:pt idx="16">
                  <c:v>0.215425</c:v>
                </c:pt>
                <c:pt idx="17">
                  <c:v>1.720189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8526186"/>
        <c:axId val="39651681"/>
      </c:barChart>
      <c:catAx>
        <c:axId val="12852618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400"/>
                  <a:t>Mission Segment</a:t>
                </a:r>
                <a:endParaRPr lang="vi-VN" altLang="en-US" sz="1400"/>
              </a:p>
            </c:rich>
          </c:tx>
          <c:layout>
            <c:manualLayout>
              <c:xMode val="edge"/>
              <c:yMode val="edge"/>
              <c:x val="0.41184803605924"/>
              <c:y val="0.84935418082936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651681"/>
        <c:crosses val="autoZero"/>
        <c:auto val="1"/>
        <c:lblAlgn val="ctr"/>
        <c:lblOffset val="100"/>
        <c:noMultiLvlLbl val="0"/>
      </c:catAx>
      <c:valAx>
        <c:axId val="396516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 hr)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19124275595621"/>
              <c:y val="0.29288919102651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5261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03273601600808"/>
          <c:y val="0.91469368364915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022dfe-ae49-4803-bf69-c648dbeee27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/>
              <a:t>Mission Segment Energy</a:t>
            </a:r>
            <a:endParaRPr lang="vi-VN" altLang="en-US" sz="16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 b="0"/>
              <a:t>3000 ft - 60 mi</a:t>
            </a:r>
            <a:endParaRPr lang="vi-VN" altLang="en-US" sz="1600" b="0"/>
          </a:p>
        </c:rich>
      </c:tx>
      <c:layout>
        <c:manualLayout>
          <c:xMode val="edge"/>
          <c:yMode val="edge"/>
          <c:x val="0.349806825499034"/>
          <c:y val="0.01957851801495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'3000 ft'!$B$10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'3000 ft'!$C$10:$T$10</c:f>
              <c:numCache>
                <c:formatCode>General</c:formatCode>
                <c:ptCount val="18"/>
                <c:pt idx="0">
                  <c:v>0.00414</c:v>
                </c:pt>
                <c:pt idx="1">
                  <c:v>2.655278</c:v>
                </c:pt>
                <c:pt idx="2">
                  <c:v>2.819013</c:v>
                </c:pt>
                <c:pt idx="3">
                  <c:v>0.548909</c:v>
                </c:pt>
                <c:pt idx="4">
                  <c:v>5.65707</c:v>
                </c:pt>
                <c:pt idx="5">
                  <c:v>82.041926</c:v>
                </c:pt>
                <c:pt idx="6">
                  <c:v>3.170643</c:v>
                </c:pt>
                <c:pt idx="7">
                  <c:v>0.548909</c:v>
                </c:pt>
                <c:pt idx="8">
                  <c:v>0.073526</c:v>
                </c:pt>
                <c:pt idx="9">
                  <c:v>2.33266</c:v>
                </c:pt>
                <c:pt idx="10">
                  <c:v>0.00414</c:v>
                </c:pt>
                <c:pt idx="11">
                  <c:v>2.655278</c:v>
                </c:pt>
                <c:pt idx="12">
                  <c:v>2.819013</c:v>
                </c:pt>
                <c:pt idx="13">
                  <c:v>1.953182</c:v>
                </c:pt>
                <c:pt idx="14">
                  <c:v>5.813995</c:v>
                </c:pt>
                <c:pt idx="15">
                  <c:v>0.104002</c:v>
                </c:pt>
                <c:pt idx="16">
                  <c:v>0.079146</c:v>
                </c:pt>
                <c:pt idx="17">
                  <c:v>2.33266</c:v>
                </c:pt>
              </c:numCache>
            </c:numRef>
          </c:val>
        </c:ser>
        <c:ser>
          <c:idx val="1"/>
          <c:order val="1"/>
          <c:tx>
            <c:strRef>
              <c:f>'3000 ft'!$B$11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'3000 ft'!$C$11:$T$11</c:f>
              <c:numCache>
                <c:formatCode>General</c:formatCode>
                <c:ptCount val="18"/>
                <c:pt idx="0">
                  <c:v>0.003135</c:v>
                </c:pt>
                <c:pt idx="1">
                  <c:v>1.649377</c:v>
                </c:pt>
                <c:pt idx="2">
                  <c:v>2.55495</c:v>
                </c:pt>
                <c:pt idx="3">
                  <c:v>0.529222</c:v>
                </c:pt>
                <c:pt idx="4">
                  <c:v>4.903259</c:v>
                </c:pt>
                <c:pt idx="5">
                  <c:v>52.515216</c:v>
                </c:pt>
                <c:pt idx="6">
                  <c:v>3.020624</c:v>
                </c:pt>
                <c:pt idx="7">
                  <c:v>0.529222</c:v>
                </c:pt>
                <c:pt idx="8">
                  <c:v>0.476162</c:v>
                </c:pt>
                <c:pt idx="9">
                  <c:v>1.448976</c:v>
                </c:pt>
                <c:pt idx="10">
                  <c:v>0.003135</c:v>
                </c:pt>
                <c:pt idx="11">
                  <c:v>1.649377</c:v>
                </c:pt>
                <c:pt idx="12">
                  <c:v>2.55495</c:v>
                </c:pt>
                <c:pt idx="13">
                  <c:v>1.582202</c:v>
                </c:pt>
                <c:pt idx="14">
                  <c:v>3.721551</c:v>
                </c:pt>
                <c:pt idx="15">
                  <c:v>0.057049</c:v>
                </c:pt>
                <c:pt idx="16">
                  <c:v>0.480418</c:v>
                </c:pt>
                <c:pt idx="17">
                  <c:v>1.448976</c:v>
                </c:pt>
              </c:numCache>
            </c:numRef>
          </c:val>
        </c:ser>
        <c:ser>
          <c:idx val="2"/>
          <c:order val="2"/>
          <c:tx>
            <c:strRef>
              <c:f>'3000 ft'!$B$12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'3000 ft'!$C$12:$T$12</c:f>
              <c:numCache>
                <c:formatCode>General</c:formatCode>
                <c:ptCount val="18"/>
                <c:pt idx="0">
                  <c:v>0.004368</c:v>
                </c:pt>
                <c:pt idx="1">
                  <c:v>1.958099</c:v>
                </c:pt>
                <c:pt idx="2">
                  <c:v>3.106308</c:v>
                </c:pt>
                <c:pt idx="3">
                  <c:v>0.648757</c:v>
                </c:pt>
                <c:pt idx="4">
                  <c:v>6.62402</c:v>
                </c:pt>
                <c:pt idx="5">
                  <c:v>91.759145</c:v>
                </c:pt>
                <c:pt idx="6">
                  <c:v>4.000546</c:v>
                </c:pt>
                <c:pt idx="7">
                  <c:v>0.648757</c:v>
                </c:pt>
                <c:pt idx="8">
                  <c:v>0.209495</c:v>
                </c:pt>
                <c:pt idx="9">
                  <c:v>1.720189</c:v>
                </c:pt>
                <c:pt idx="10">
                  <c:v>0.004368</c:v>
                </c:pt>
                <c:pt idx="11">
                  <c:v>1.958099</c:v>
                </c:pt>
                <c:pt idx="12">
                  <c:v>3.106308</c:v>
                </c:pt>
                <c:pt idx="13">
                  <c:v>2.170028</c:v>
                </c:pt>
                <c:pt idx="14">
                  <c:v>6.502617</c:v>
                </c:pt>
                <c:pt idx="15">
                  <c:v>0.086804</c:v>
                </c:pt>
                <c:pt idx="16">
                  <c:v>0.215425</c:v>
                </c:pt>
                <c:pt idx="17">
                  <c:v>1.720189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8526186"/>
        <c:axId val="39651681"/>
      </c:barChart>
      <c:catAx>
        <c:axId val="12852618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400"/>
                  <a:t>Mission Segment</a:t>
                </a:r>
                <a:endParaRPr lang="vi-VN" altLang="en-US" sz="1400"/>
              </a:p>
            </c:rich>
          </c:tx>
          <c:layout>
            <c:manualLayout>
              <c:xMode val="edge"/>
              <c:yMode val="edge"/>
              <c:x val="0.41184803605924"/>
              <c:y val="0.84935418082936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651681"/>
        <c:crosses val="autoZero"/>
        <c:auto val="1"/>
        <c:lblAlgn val="ctr"/>
        <c:lblOffset val="100"/>
        <c:noMultiLvlLbl val="0"/>
      </c:catAx>
      <c:valAx>
        <c:axId val="3965168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 hr)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19124275595621"/>
              <c:y val="0.29288919102651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5261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14592723760464"/>
          <c:y val="0.91464354193614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022dfe-ae49-4803-bf69-c648dbeee27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Mission Segment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 b="0"/>
              <a:t>3000 ft</a:t>
            </a:r>
            <a:endParaRPr lang="vi-VN" altLang="en-US" sz="1600" b="0"/>
          </a:p>
        </c:rich>
      </c:tx>
      <c:layout>
        <c:manualLayout>
          <c:xMode val="edge"/>
          <c:yMode val="edge"/>
          <c:x val="0.379917933864349"/>
          <c:y val="0.018585430484332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'3000 ft'!$U$40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'3000 ft'!$U$41:$U$60</c:f>
              <c:numCache>
                <c:formatCode>General</c:formatCode>
                <c:ptCount val="20"/>
                <c:pt idx="0">
                  <c:v>0.00414</c:v>
                </c:pt>
                <c:pt idx="1">
                  <c:v>2.655278</c:v>
                </c:pt>
                <c:pt idx="2">
                  <c:v>2.819013</c:v>
                </c:pt>
                <c:pt idx="3">
                  <c:v>0.548909</c:v>
                </c:pt>
                <c:pt idx="4">
                  <c:v>5.65707</c:v>
                </c:pt>
                <c:pt idx="5">
                  <c:v>30.361973</c:v>
                </c:pt>
                <c:pt idx="6">
                  <c:v>56.201949</c:v>
                </c:pt>
                <c:pt idx="7">
                  <c:v>82.041926</c:v>
                </c:pt>
                <c:pt idx="8">
                  <c:v>3.170643</c:v>
                </c:pt>
                <c:pt idx="9">
                  <c:v>0.548909</c:v>
                </c:pt>
                <c:pt idx="10">
                  <c:v>0.073526</c:v>
                </c:pt>
                <c:pt idx="11">
                  <c:v>2.33266</c:v>
                </c:pt>
                <c:pt idx="12">
                  <c:v>0.00414</c:v>
                </c:pt>
                <c:pt idx="13">
                  <c:v>2.655278</c:v>
                </c:pt>
                <c:pt idx="14">
                  <c:v>2.819013</c:v>
                </c:pt>
                <c:pt idx="15">
                  <c:v>1.953182</c:v>
                </c:pt>
                <c:pt idx="16">
                  <c:v>5.813995</c:v>
                </c:pt>
                <c:pt idx="17">
                  <c:v>0.104002</c:v>
                </c:pt>
                <c:pt idx="18">
                  <c:v>0.079146</c:v>
                </c:pt>
                <c:pt idx="19">
                  <c:v>2.33266</c:v>
                </c:pt>
              </c:numCache>
            </c:numRef>
          </c:val>
        </c:ser>
        <c:ser>
          <c:idx val="1"/>
          <c:order val="1"/>
          <c:tx>
            <c:strRef>
              <c:f>'3000 ft'!$V$40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'3000 ft'!$V$41:$V$60</c:f>
              <c:numCache>
                <c:formatCode>General</c:formatCode>
                <c:ptCount val="20"/>
                <c:pt idx="0">
                  <c:v>0.003135</c:v>
                </c:pt>
                <c:pt idx="1">
                  <c:v>1.649377</c:v>
                </c:pt>
                <c:pt idx="2">
                  <c:v>2.55495</c:v>
                </c:pt>
                <c:pt idx="3">
                  <c:v>0.529222</c:v>
                </c:pt>
                <c:pt idx="4">
                  <c:v>4.903259</c:v>
                </c:pt>
                <c:pt idx="5">
                  <c:v>19.434765</c:v>
                </c:pt>
                <c:pt idx="6">
                  <c:v>35.974991</c:v>
                </c:pt>
                <c:pt idx="7">
                  <c:v>52.515216</c:v>
                </c:pt>
                <c:pt idx="8">
                  <c:v>3.020624</c:v>
                </c:pt>
                <c:pt idx="9">
                  <c:v>0.529222</c:v>
                </c:pt>
                <c:pt idx="10">
                  <c:v>0.476162</c:v>
                </c:pt>
                <c:pt idx="11">
                  <c:v>1.448976</c:v>
                </c:pt>
                <c:pt idx="12">
                  <c:v>0.003135</c:v>
                </c:pt>
                <c:pt idx="13">
                  <c:v>1.649377</c:v>
                </c:pt>
                <c:pt idx="14">
                  <c:v>2.55495</c:v>
                </c:pt>
                <c:pt idx="15">
                  <c:v>1.582202</c:v>
                </c:pt>
                <c:pt idx="16">
                  <c:v>3.721551</c:v>
                </c:pt>
                <c:pt idx="17">
                  <c:v>0.057049</c:v>
                </c:pt>
                <c:pt idx="18">
                  <c:v>0.480418</c:v>
                </c:pt>
                <c:pt idx="19">
                  <c:v>1.448976</c:v>
                </c:pt>
              </c:numCache>
            </c:numRef>
          </c:val>
        </c:ser>
        <c:ser>
          <c:idx val="2"/>
          <c:order val="2"/>
          <c:tx>
            <c:strRef>
              <c:f>'3000 ft'!$W$40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'3000 ft'!$W$41:$W$60</c:f>
              <c:numCache>
                <c:formatCode>General</c:formatCode>
                <c:ptCount val="20"/>
                <c:pt idx="0">
                  <c:v>0.004368</c:v>
                </c:pt>
                <c:pt idx="1">
                  <c:v>1.958099</c:v>
                </c:pt>
                <c:pt idx="2">
                  <c:v>3.106308</c:v>
                </c:pt>
                <c:pt idx="3">
                  <c:v>0.648757</c:v>
                </c:pt>
                <c:pt idx="4">
                  <c:v>6.62402</c:v>
                </c:pt>
                <c:pt idx="5">
                  <c:v>33.958109</c:v>
                </c:pt>
                <c:pt idx="6">
                  <c:v>62.858627</c:v>
                </c:pt>
                <c:pt idx="7">
                  <c:v>91.759145</c:v>
                </c:pt>
                <c:pt idx="8">
                  <c:v>4.000546</c:v>
                </c:pt>
                <c:pt idx="9">
                  <c:v>0.648757</c:v>
                </c:pt>
                <c:pt idx="10">
                  <c:v>0.209495</c:v>
                </c:pt>
                <c:pt idx="11">
                  <c:v>1.720189</c:v>
                </c:pt>
                <c:pt idx="12">
                  <c:v>0.004368</c:v>
                </c:pt>
                <c:pt idx="13">
                  <c:v>1.958099</c:v>
                </c:pt>
                <c:pt idx="14">
                  <c:v>3.106308</c:v>
                </c:pt>
                <c:pt idx="15">
                  <c:v>2.170028</c:v>
                </c:pt>
                <c:pt idx="16">
                  <c:v>6.502617</c:v>
                </c:pt>
                <c:pt idx="17">
                  <c:v>0.086804</c:v>
                </c:pt>
                <c:pt idx="18">
                  <c:v>0.215425</c:v>
                </c:pt>
                <c:pt idx="19">
                  <c:v>1.720189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19840387"/>
        <c:axId val="144084049"/>
      </c:barChart>
      <c:catAx>
        <c:axId val="71984038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/>
                  <a:t>Mission Segment</a:t>
                </a:r>
                <a:endParaRPr sz="1600"/>
              </a:p>
            </c:rich>
          </c:tx>
          <c:layout>
            <c:manualLayout>
              <c:xMode val="edge"/>
              <c:yMode val="edge"/>
              <c:x val="0.416758295665141"/>
              <c:y val="0.852335708630245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084049"/>
        <c:crosses val="autoZero"/>
        <c:auto val="1"/>
        <c:lblAlgn val="ctr"/>
        <c:lblOffset val="100"/>
        <c:noMultiLvlLbl val="0"/>
      </c:catAx>
      <c:valAx>
        <c:axId val="14408404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 hr)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59744408945687"/>
              <c:y val="0.31282323299297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8403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29763287830381"/>
          <c:y val="0.91552844450338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a27dec-0d74-4f07-aead-3ff72fca0b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Mission Segment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 b="0"/>
              <a:t>1500 ft</a:t>
            </a:r>
            <a:endParaRPr sz="1800" b="0"/>
          </a:p>
        </c:rich>
      </c:tx>
      <c:layout>
        <c:manualLayout>
          <c:xMode val="edge"/>
          <c:yMode val="edge"/>
          <c:x val="0.379917933864349"/>
          <c:y val="0.018585430484332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64031907179115"/>
          <c:y val="0.173320615887723"/>
          <c:w val="0.907643219724438"/>
          <c:h val="0.379479493118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'1500 ft'!$U$40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'1500 ft'!$U$41:$U$60</c:f>
              <c:numCache>
                <c:formatCode>General</c:formatCode>
                <c:ptCount val="20"/>
                <c:pt idx="0">
                  <c:v>0.00414</c:v>
                </c:pt>
                <c:pt idx="1">
                  <c:v>1.410868</c:v>
                </c:pt>
                <c:pt idx="2">
                  <c:v>2.095849</c:v>
                </c:pt>
                <c:pt idx="3">
                  <c:v>0.548625</c:v>
                </c:pt>
                <c:pt idx="4">
                  <c:v>3.448231</c:v>
                </c:pt>
                <c:pt idx="5">
                  <c:v>40.956658</c:v>
                </c:pt>
                <c:pt idx="6">
                  <c:v>67.380308</c:v>
                </c:pt>
                <c:pt idx="7">
                  <c:v>93.803958</c:v>
                </c:pt>
                <c:pt idx="8">
                  <c:v>0.968789</c:v>
                </c:pt>
                <c:pt idx="9">
                  <c:v>0.548625</c:v>
                </c:pt>
                <c:pt idx="10">
                  <c:v>0.148021</c:v>
                </c:pt>
                <c:pt idx="11">
                  <c:v>1.088325</c:v>
                </c:pt>
                <c:pt idx="12">
                  <c:v>0.00414</c:v>
                </c:pt>
                <c:pt idx="13">
                  <c:v>1.410868</c:v>
                </c:pt>
                <c:pt idx="14">
                  <c:v>2.095849</c:v>
                </c:pt>
                <c:pt idx="15">
                  <c:v>1.583708</c:v>
                </c:pt>
                <c:pt idx="16">
                  <c:v>8.220691</c:v>
                </c:pt>
                <c:pt idx="17">
                  <c:v>0.181031</c:v>
                </c:pt>
                <c:pt idx="18">
                  <c:v>0.146841</c:v>
                </c:pt>
                <c:pt idx="19">
                  <c:v>1.088325</c:v>
                </c:pt>
              </c:numCache>
            </c:numRef>
          </c:val>
        </c:ser>
        <c:ser>
          <c:idx val="1"/>
          <c:order val="1"/>
          <c:tx>
            <c:strRef>
              <c:f>'1500 ft'!$V$40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'1500 ft'!$V$41:$V$60</c:f>
              <c:numCache>
                <c:formatCode>General</c:formatCode>
                <c:ptCount val="20"/>
                <c:pt idx="0">
                  <c:v>0.003135</c:v>
                </c:pt>
                <c:pt idx="1">
                  <c:v>0.876388</c:v>
                </c:pt>
                <c:pt idx="2">
                  <c:v>1.79714</c:v>
                </c:pt>
                <c:pt idx="3">
                  <c:v>0.528918</c:v>
                </c:pt>
                <c:pt idx="4">
                  <c:v>2.920245</c:v>
                </c:pt>
                <c:pt idx="5">
                  <c:v>25.768693</c:v>
                </c:pt>
                <c:pt idx="6">
                  <c:v>42.393657</c:v>
                </c:pt>
                <c:pt idx="7">
                  <c:v>59.01862</c:v>
                </c:pt>
                <c:pt idx="8">
                  <c:v>1.042898</c:v>
                </c:pt>
                <c:pt idx="9">
                  <c:v>0.528918</c:v>
                </c:pt>
                <c:pt idx="10">
                  <c:v>0.06635</c:v>
                </c:pt>
                <c:pt idx="11">
                  <c:v>0.676034</c:v>
                </c:pt>
                <c:pt idx="12">
                  <c:v>0.003135</c:v>
                </c:pt>
                <c:pt idx="13">
                  <c:v>0.876388</c:v>
                </c:pt>
                <c:pt idx="14">
                  <c:v>1.79714</c:v>
                </c:pt>
                <c:pt idx="15">
                  <c:v>1.250689</c:v>
                </c:pt>
                <c:pt idx="16">
                  <c:v>5.172211</c:v>
                </c:pt>
                <c:pt idx="17">
                  <c:v>0.126243</c:v>
                </c:pt>
                <c:pt idx="18">
                  <c:v>0.065456</c:v>
                </c:pt>
                <c:pt idx="19">
                  <c:v>0.676034</c:v>
                </c:pt>
              </c:numCache>
            </c:numRef>
          </c:val>
        </c:ser>
        <c:ser>
          <c:idx val="2"/>
          <c:order val="2"/>
          <c:tx>
            <c:strRef>
              <c:f>'1500 ft'!$W$40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'1500 ft'!$W$41:$W$60</c:f>
              <c:numCache>
                <c:formatCode>General</c:formatCode>
                <c:ptCount val="20"/>
                <c:pt idx="0">
                  <c:v>0.004368</c:v>
                </c:pt>
                <c:pt idx="1">
                  <c:v>1.040426</c:v>
                </c:pt>
                <c:pt idx="2">
                  <c:v>2.277308</c:v>
                </c:pt>
                <c:pt idx="3">
                  <c:v>0.648287</c:v>
                </c:pt>
                <c:pt idx="4">
                  <c:v>3.964715</c:v>
                </c:pt>
                <c:pt idx="5">
                  <c:v>45.7638</c:v>
                </c:pt>
                <c:pt idx="6">
                  <c:v>75.288832</c:v>
                </c:pt>
                <c:pt idx="7">
                  <c:v>104.813864</c:v>
                </c:pt>
                <c:pt idx="8">
                  <c:v>1.348611</c:v>
                </c:pt>
                <c:pt idx="9">
                  <c:v>0.648287</c:v>
                </c:pt>
                <c:pt idx="10">
                  <c:v>0.138648</c:v>
                </c:pt>
                <c:pt idx="11">
                  <c:v>0.802571</c:v>
                </c:pt>
                <c:pt idx="12">
                  <c:v>0.004368</c:v>
                </c:pt>
                <c:pt idx="13">
                  <c:v>1.040426</c:v>
                </c:pt>
                <c:pt idx="14">
                  <c:v>2.277308</c:v>
                </c:pt>
                <c:pt idx="15">
                  <c:v>1.725403</c:v>
                </c:pt>
                <c:pt idx="16">
                  <c:v>9.185566</c:v>
                </c:pt>
                <c:pt idx="17">
                  <c:v>0.179584</c:v>
                </c:pt>
                <c:pt idx="18">
                  <c:v>0.137403</c:v>
                </c:pt>
                <c:pt idx="19">
                  <c:v>0.802571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19840387"/>
        <c:axId val="144084049"/>
      </c:barChart>
      <c:catAx>
        <c:axId val="71984038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/>
                  <a:t>Mission Segment</a:t>
                </a:r>
                <a:endParaRPr sz="1600"/>
              </a:p>
            </c:rich>
          </c:tx>
          <c:layout>
            <c:manualLayout>
              <c:xMode val="edge"/>
              <c:yMode val="edge"/>
              <c:x val="0.416758295665141"/>
              <c:y val="0.852335708630245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084049"/>
        <c:crosses val="autoZero"/>
        <c:auto val="1"/>
        <c:lblAlgn val="ctr"/>
        <c:lblOffset val="100"/>
        <c:noMultiLvlLbl val="0"/>
      </c:catAx>
      <c:valAx>
        <c:axId val="14408404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 hr)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59744408945687"/>
              <c:y val="0.31282323299297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8403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29763287830381"/>
          <c:y val="0.91552844450338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1ebc11-a6d5-44a7-a163-6ed4b9ec03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Mission Segment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 b="0"/>
              <a:t>3000 ft</a:t>
            </a:r>
            <a:endParaRPr lang="vi-VN" altLang="en-US" sz="1600" b="0"/>
          </a:p>
        </c:rich>
      </c:tx>
      <c:layout>
        <c:manualLayout>
          <c:xMode val="edge"/>
          <c:yMode val="edge"/>
          <c:x val="0.379917933864349"/>
          <c:y val="0.018585430484332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'3000 ft'!$U$40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'3000 ft'!$U$41:$U$60</c:f>
              <c:numCache>
                <c:formatCode>General</c:formatCode>
                <c:ptCount val="20"/>
                <c:pt idx="0">
                  <c:v>0.00414</c:v>
                </c:pt>
                <c:pt idx="1">
                  <c:v>2.655278</c:v>
                </c:pt>
                <c:pt idx="2">
                  <c:v>2.819013</c:v>
                </c:pt>
                <c:pt idx="3">
                  <c:v>0.548909</c:v>
                </c:pt>
                <c:pt idx="4">
                  <c:v>5.65707</c:v>
                </c:pt>
                <c:pt idx="5">
                  <c:v>30.361973</c:v>
                </c:pt>
                <c:pt idx="6">
                  <c:v>56.201949</c:v>
                </c:pt>
                <c:pt idx="7">
                  <c:v>82.041926</c:v>
                </c:pt>
                <c:pt idx="8">
                  <c:v>3.170643</c:v>
                </c:pt>
                <c:pt idx="9">
                  <c:v>0.548909</c:v>
                </c:pt>
                <c:pt idx="10">
                  <c:v>0.073526</c:v>
                </c:pt>
                <c:pt idx="11">
                  <c:v>2.33266</c:v>
                </c:pt>
                <c:pt idx="12">
                  <c:v>0.00414</c:v>
                </c:pt>
                <c:pt idx="13">
                  <c:v>2.655278</c:v>
                </c:pt>
                <c:pt idx="14">
                  <c:v>2.819013</c:v>
                </c:pt>
                <c:pt idx="15">
                  <c:v>1.953182</c:v>
                </c:pt>
                <c:pt idx="16">
                  <c:v>5.813995</c:v>
                </c:pt>
                <c:pt idx="17">
                  <c:v>0.104002</c:v>
                </c:pt>
                <c:pt idx="18">
                  <c:v>0.079146</c:v>
                </c:pt>
                <c:pt idx="19">
                  <c:v>2.33266</c:v>
                </c:pt>
              </c:numCache>
            </c:numRef>
          </c:val>
        </c:ser>
        <c:ser>
          <c:idx val="1"/>
          <c:order val="1"/>
          <c:tx>
            <c:strRef>
              <c:f>'3000 ft'!$V$40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'3000 ft'!$V$41:$V$60</c:f>
              <c:numCache>
                <c:formatCode>General</c:formatCode>
                <c:ptCount val="20"/>
                <c:pt idx="0">
                  <c:v>0.003135</c:v>
                </c:pt>
                <c:pt idx="1">
                  <c:v>1.649377</c:v>
                </c:pt>
                <c:pt idx="2">
                  <c:v>2.55495</c:v>
                </c:pt>
                <c:pt idx="3">
                  <c:v>0.529222</c:v>
                </c:pt>
                <c:pt idx="4">
                  <c:v>4.903259</c:v>
                </c:pt>
                <c:pt idx="5">
                  <c:v>19.434765</c:v>
                </c:pt>
                <c:pt idx="6">
                  <c:v>35.974991</c:v>
                </c:pt>
                <c:pt idx="7">
                  <c:v>52.515216</c:v>
                </c:pt>
                <c:pt idx="8">
                  <c:v>3.020624</c:v>
                </c:pt>
                <c:pt idx="9">
                  <c:v>0.529222</c:v>
                </c:pt>
                <c:pt idx="10">
                  <c:v>0.476162</c:v>
                </c:pt>
                <c:pt idx="11">
                  <c:v>1.448976</c:v>
                </c:pt>
                <c:pt idx="12">
                  <c:v>0.003135</c:v>
                </c:pt>
                <c:pt idx="13">
                  <c:v>1.649377</c:v>
                </c:pt>
                <c:pt idx="14">
                  <c:v>2.55495</c:v>
                </c:pt>
                <c:pt idx="15">
                  <c:v>1.582202</c:v>
                </c:pt>
                <c:pt idx="16">
                  <c:v>3.721551</c:v>
                </c:pt>
                <c:pt idx="17">
                  <c:v>0.057049</c:v>
                </c:pt>
                <c:pt idx="18">
                  <c:v>0.480418</c:v>
                </c:pt>
                <c:pt idx="19">
                  <c:v>1.448976</c:v>
                </c:pt>
              </c:numCache>
            </c:numRef>
          </c:val>
        </c:ser>
        <c:ser>
          <c:idx val="2"/>
          <c:order val="2"/>
          <c:tx>
            <c:strRef>
              <c:f>'3000 ft'!$W$40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'3000 ft'!$W$41:$W$60</c:f>
              <c:numCache>
                <c:formatCode>General</c:formatCode>
                <c:ptCount val="20"/>
                <c:pt idx="0">
                  <c:v>0.004368</c:v>
                </c:pt>
                <c:pt idx="1">
                  <c:v>1.958099</c:v>
                </c:pt>
                <c:pt idx="2">
                  <c:v>3.106308</c:v>
                </c:pt>
                <c:pt idx="3">
                  <c:v>0.648757</c:v>
                </c:pt>
                <c:pt idx="4">
                  <c:v>6.62402</c:v>
                </c:pt>
                <c:pt idx="5">
                  <c:v>33.958109</c:v>
                </c:pt>
                <c:pt idx="6">
                  <c:v>62.858627</c:v>
                </c:pt>
                <c:pt idx="7">
                  <c:v>91.759145</c:v>
                </c:pt>
                <c:pt idx="8">
                  <c:v>4.000546</c:v>
                </c:pt>
                <c:pt idx="9">
                  <c:v>0.648757</c:v>
                </c:pt>
                <c:pt idx="10">
                  <c:v>0.209495</c:v>
                </c:pt>
                <c:pt idx="11">
                  <c:v>1.720189</c:v>
                </c:pt>
                <c:pt idx="12">
                  <c:v>0.004368</c:v>
                </c:pt>
                <c:pt idx="13">
                  <c:v>1.958099</c:v>
                </c:pt>
                <c:pt idx="14">
                  <c:v>3.106308</c:v>
                </c:pt>
                <c:pt idx="15">
                  <c:v>2.170028</c:v>
                </c:pt>
                <c:pt idx="16">
                  <c:v>6.502617</c:v>
                </c:pt>
                <c:pt idx="17">
                  <c:v>0.086804</c:v>
                </c:pt>
                <c:pt idx="18">
                  <c:v>0.215425</c:v>
                </c:pt>
                <c:pt idx="19">
                  <c:v>1.720189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19840387"/>
        <c:axId val="144084049"/>
      </c:barChart>
      <c:catAx>
        <c:axId val="71984038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/>
                  <a:t>Mission Segment</a:t>
                </a:r>
                <a:endParaRPr sz="1600"/>
              </a:p>
            </c:rich>
          </c:tx>
          <c:layout>
            <c:manualLayout>
              <c:xMode val="edge"/>
              <c:yMode val="edge"/>
              <c:x val="0.416758295665141"/>
              <c:y val="0.852335708630245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084049"/>
        <c:crosses val="autoZero"/>
        <c:auto val="1"/>
        <c:lblAlgn val="ctr"/>
        <c:lblOffset val="100"/>
        <c:noMultiLvlLbl val="0"/>
      </c:catAx>
      <c:valAx>
        <c:axId val="14408404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 hr)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59744408945687"/>
              <c:y val="0.31282323299297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8403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29763287830381"/>
          <c:y val="0.91552844450338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a27dec-0d74-4f07-aead-3ff72fca0b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622300</xdr:colOff>
      <xdr:row>14</xdr:row>
      <xdr:rowOff>31115</xdr:rowOff>
    </xdr:from>
    <xdr:to>
      <xdr:col>10</xdr:col>
      <xdr:colOff>1158240</xdr:colOff>
      <xdr:row>39</xdr:row>
      <xdr:rowOff>129540</xdr:rowOff>
    </xdr:to>
    <xdr:graphicFrame>
      <xdr:nvGraphicFramePr>
        <xdr:cNvPr id="2" name="Chart 1"/>
        <xdr:cNvGraphicFramePr/>
      </xdr:nvGraphicFramePr>
      <xdr:xfrm>
        <a:off x="3037840" y="2591435"/>
        <a:ext cx="7889240" cy="4670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268605</xdr:colOff>
      <xdr:row>14</xdr:row>
      <xdr:rowOff>36195</xdr:rowOff>
    </xdr:from>
    <xdr:to>
      <xdr:col>17</xdr:col>
      <xdr:colOff>949325</xdr:colOff>
      <xdr:row>39</xdr:row>
      <xdr:rowOff>134620</xdr:rowOff>
    </xdr:to>
    <xdr:graphicFrame>
      <xdr:nvGraphicFramePr>
        <xdr:cNvPr id="4" name="Chart 3"/>
        <xdr:cNvGraphicFramePr/>
      </xdr:nvGraphicFramePr>
      <xdr:xfrm>
        <a:off x="11271885" y="2596515"/>
        <a:ext cx="7889240" cy="4670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639445</xdr:colOff>
      <xdr:row>41</xdr:row>
      <xdr:rowOff>152400</xdr:rowOff>
    </xdr:from>
    <xdr:to>
      <xdr:col>10</xdr:col>
      <xdr:colOff>1175385</xdr:colOff>
      <xdr:row>67</xdr:row>
      <xdr:rowOff>67945</xdr:rowOff>
    </xdr:to>
    <xdr:graphicFrame>
      <xdr:nvGraphicFramePr>
        <xdr:cNvPr id="5" name="Chart 4"/>
        <xdr:cNvGraphicFramePr/>
      </xdr:nvGraphicFramePr>
      <xdr:xfrm>
        <a:off x="3054985" y="7650480"/>
        <a:ext cx="7889240" cy="4670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186690</xdr:colOff>
      <xdr:row>41</xdr:row>
      <xdr:rowOff>163195</xdr:rowOff>
    </xdr:from>
    <xdr:to>
      <xdr:col>17</xdr:col>
      <xdr:colOff>1725295</xdr:colOff>
      <xdr:row>67</xdr:row>
      <xdr:rowOff>140335</xdr:rowOff>
    </xdr:to>
    <xdr:graphicFrame>
      <xdr:nvGraphicFramePr>
        <xdr:cNvPr id="6" name="Chart 5"/>
        <xdr:cNvGraphicFramePr/>
      </xdr:nvGraphicFramePr>
      <xdr:xfrm>
        <a:off x="11189970" y="7661275"/>
        <a:ext cx="8747125" cy="4732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622300</xdr:colOff>
      <xdr:row>14</xdr:row>
      <xdr:rowOff>31115</xdr:rowOff>
    </xdr:from>
    <xdr:to>
      <xdr:col>10</xdr:col>
      <xdr:colOff>1158240</xdr:colOff>
      <xdr:row>39</xdr:row>
      <xdr:rowOff>129540</xdr:rowOff>
    </xdr:to>
    <xdr:graphicFrame>
      <xdr:nvGraphicFramePr>
        <xdr:cNvPr id="2" name="Chart 1"/>
        <xdr:cNvGraphicFramePr/>
      </xdr:nvGraphicFramePr>
      <xdr:xfrm>
        <a:off x="3037840" y="2591435"/>
        <a:ext cx="7889240" cy="4670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268605</xdr:colOff>
      <xdr:row>14</xdr:row>
      <xdr:rowOff>36195</xdr:rowOff>
    </xdr:from>
    <xdr:to>
      <xdr:col>17</xdr:col>
      <xdr:colOff>949325</xdr:colOff>
      <xdr:row>39</xdr:row>
      <xdr:rowOff>134620</xdr:rowOff>
    </xdr:to>
    <xdr:graphicFrame>
      <xdr:nvGraphicFramePr>
        <xdr:cNvPr id="3" name="Chart 2"/>
        <xdr:cNvGraphicFramePr/>
      </xdr:nvGraphicFramePr>
      <xdr:xfrm>
        <a:off x="11271885" y="2596515"/>
        <a:ext cx="7889240" cy="4670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639445</xdr:colOff>
      <xdr:row>41</xdr:row>
      <xdr:rowOff>152400</xdr:rowOff>
    </xdr:from>
    <xdr:to>
      <xdr:col>10</xdr:col>
      <xdr:colOff>1175385</xdr:colOff>
      <xdr:row>67</xdr:row>
      <xdr:rowOff>67945</xdr:rowOff>
    </xdr:to>
    <xdr:graphicFrame>
      <xdr:nvGraphicFramePr>
        <xdr:cNvPr id="4" name="Chart 3"/>
        <xdr:cNvGraphicFramePr/>
      </xdr:nvGraphicFramePr>
      <xdr:xfrm>
        <a:off x="3054985" y="7650480"/>
        <a:ext cx="7889240" cy="4670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186690</xdr:colOff>
      <xdr:row>41</xdr:row>
      <xdr:rowOff>163195</xdr:rowOff>
    </xdr:from>
    <xdr:to>
      <xdr:col>17</xdr:col>
      <xdr:colOff>1725295</xdr:colOff>
      <xdr:row>67</xdr:row>
      <xdr:rowOff>140335</xdr:rowOff>
    </xdr:to>
    <xdr:graphicFrame>
      <xdr:nvGraphicFramePr>
        <xdr:cNvPr id="5" name="Chart 4"/>
        <xdr:cNvGraphicFramePr/>
      </xdr:nvGraphicFramePr>
      <xdr:xfrm>
        <a:off x="11189970" y="7661275"/>
        <a:ext cx="8747125" cy="4732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715645</xdr:colOff>
      <xdr:row>0</xdr:row>
      <xdr:rowOff>95250</xdr:rowOff>
    </xdr:from>
    <xdr:to>
      <xdr:col>22</xdr:col>
      <xdr:colOff>394970</xdr:colOff>
      <xdr:row>26</xdr:row>
      <xdr:rowOff>18415</xdr:rowOff>
    </xdr:to>
    <xdr:graphicFrame>
      <xdr:nvGraphicFramePr>
        <xdr:cNvPr id="2" name="Chart 1"/>
        <xdr:cNvGraphicFramePr/>
      </xdr:nvGraphicFramePr>
      <xdr:xfrm>
        <a:off x="12892405" y="95250"/>
        <a:ext cx="8747125" cy="4678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772160</xdr:colOff>
      <xdr:row>28</xdr:row>
      <xdr:rowOff>20320</xdr:rowOff>
    </xdr:from>
    <xdr:to>
      <xdr:col>22</xdr:col>
      <xdr:colOff>451485</xdr:colOff>
      <xdr:row>53</xdr:row>
      <xdr:rowOff>180340</xdr:rowOff>
    </xdr:to>
    <xdr:graphicFrame>
      <xdr:nvGraphicFramePr>
        <xdr:cNvPr id="3" name="Chart 2"/>
        <xdr:cNvGraphicFramePr/>
      </xdr:nvGraphicFramePr>
      <xdr:xfrm>
        <a:off x="12948920" y="5140960"/>
        <a:ext cx="8747125" cy="4732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0"/>
  <sheetViews>
    <sheetView workbookViewId="0">
      <selection activeCell="D14" sqref="D14"/>
    </sheetView>
  </sheetViews>
  <sheetFormatPr defaultColWidth="9" defaultRowHeight="14.4"/>
  <cols>
    <col min="1" max="1" width="9" style="2"/>
    <col min="2" max="2" width="15.1111111111111" style="2" customWidth="1"/>
    <col min="3" max="3" width="11.1111111111111" style="2" customWidth="1"/>
    <col min="4" max="4" width="11.7777777777778" style="2" customWidth="1"/>
    <col min="5" max="5" width="15.4444444444444" style="2" customWidth="1"/>
    <col min="6" max="6" width="17.6666666666667" style="2" customWidth="1"/>
    <col min="7" max="7" width="16" style="2" customWidth="1"/>
    <col min="8" max="8" width="10.6666666666667" style="2" customWidth="1"/>
    <col min="9" max="9" width="18.8888888888889" style="2" customWidth="1"/>
    <col min="10" max="10" width="16.7777777777778" style="2" customWidth="1"/>
    <col min="11" max="11" width="18" style="2" customWidth="1"/>
    <col min="12" max="12" width="14.4444444444444" style="2" customWidth="1"/>
    <col min="13" max="13" width="10.2222222222222" style="2" customWidth="1"/>
    <col min="14" max="14" width="19.5555555555556" style="2" customWidth="1"/>
    <col min="15" max="15" width="23.1111111111111" style="2" customWidth="1"/>
    <col min="16" max="16" width="23.7777777777778" style="2" customWidth="1"/>
    <col min="17" max="17" width="14" style="2" customWidth="1"/>
    <col min="18" max="18" width="26.6666666666667" style="2" customWidth="1"/>
    <col min="19" max="19" width="25.7777777777778" style="2" customWidth="1"/>
    <col min="20" max="20" width="25.0925925925926" style="2" customWidth="1"/>
    <col min="21" max="23" width="14.5" style="2" customWidth="1"/>
    <col min="24" max="16384" width="9" style="2"/>
  </cols>
  <sheetData>
    <row r="1" spans="3:20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</row>
    <row r="2" spans="1:20">
      <c r="A2" s="4" t="s">
        <v>18</v>
      </c>
      <c r="B2" s="2" t="s">
        <v>19</v>
      </c>
      <c r="C2" s="54">
        <v>0.00414</v>
      </c>
      <c r="D2" s="54">
        <v>1.410868</v>
      </c>
      <c r="E2" s="54">
        <v>2.095849</v>
      </c>
      <c r="F2" s="54">
        <v>0.548625</v>
      </c>
      <c r="G2" s="54">
        <v>3.448231</v>
      </c>
      <c r="H2" s="54">
        <v>40.956658</v>
      </c>
      <c r="I2" s="54">
        <v>0.968789</v>
      </c>
      <c r="J2" s="54">
        <v>0.548625</v>
      </c>
      <c r="K2" s="54">
        <v>0.148021</v>
      </c>
      <c r="L2" s="54">
        <v>1.088325</v>
      </c>
      <c r="M2" s="54">
        <v>0.00414</v>
      </c>
      <c r="N2" s="54">
        <v>1.410868</v>
      </c>
      <c r="O2" s="54">
        <v>2.095849</v>
      </c>
      <c r="P2" s="54">
        <v>1.583708</v>
      </c>
      <c r="Q2" s="54">
        <v>8.220691</v>
      </c>
      <c r="R2" s="54">
        <v>0.181031</v>
      </c>
      <c r="S2" s="54">
        <v>0.146841</v>
      </c>
      <c r="T2" s="64">
        <v>1.088325</v>
      </c>
    </row>
    <row r="3" s="8" customFormat="1" spans="1:20">
      <c r="A3" s="4"/>
      <c r="B3" s="8" t="s">
        <v>20</v>
      </c>
      <c r="C3" s="54">
        <v>0.003135</v>
      </c>
      <c r="D3" s="54">
        <v>0.876388</v>
      </c>
      <c r="E3" s="54">
        <v>1.79714</v>
      </c>
      <c r="F3" s="54">
        <v>0.528918</v>
      </c>
      <c r="G3" s="54">
        <v>2.920245</v>
      </c>
      <c r="H3" s="54">
        <v>25.768693</v>
      </c>
      <c r="I3" s="54">
        <v>1.042898</v>
      </c>
      <c r="J3" s="54">
        <v>0.528918</v>
      </c>
      <c r="K3" s="54">
        <v>0.06635</v>
      </c>
      <c r="L3" s="54">
        <v>0.676034</v>
      </c>
      <c r="M3" s="54">
        <v>0.003135</v>
      </c>
      <c r="N3" s="54">
        <v>0.876388</v>
      </c>
      <c r="O3" s="54">
        <v>1.79714</v>
      </c>
      <c r="P3" s="54">
        <v>1.250689</v>
      </c>
      <c r="Q3" s="54">
        <v>5.172211</v>
      </c>
      <c r="R3" s="54">
        <v>0.126243</v>
      </c>
      <c r="S3" s="54">
        <v>0.065456</v>
      </c>
      <c r="T3" s="64">
        <v>0.676034</v>
      </c>
    </row>
    <row r="4" s="8" customFormat="1" spans="1:20">
      <c r="A4" s="4"/>
      <c r="B4" s="8" t="s">
        <v>21</v>
      </c>
      <c r="C4" s="54">
        <v>0.004368</v>
      </c>
      <c r="D4" s="54">
        <v>1.040426</v>
      </c>
      <c r="E4" s="54">
        <v>2.277308</v>
      </c>
      <c r="F4" s="54">
        <v>0.648287</v>
      </c>
      <c r="G4" s="54">
        <v>3.964715</v>
      </c>
      <c r="H4" s="54">
        <v>45.7638</v>
      </c>
      <c r="I4" s="54">
        <v>1.348611</v>
      </c>
      <c r="J4" s="54">
        <v>0.648287</v>
      </c>
      <c r="K4" s="54">
        <v>0.138648</v>
      </c>
      <c r="L4" s="54">
        <v>0.802571</v>
      </c>
      <c r="M4" s="54">
        <v>0.004368</v>
      </c>
      <c r="N4" s="54">
        <v>1.040426</v>
      </c>
      <c r="O4" s="54">
        <v>2.277308</v>
      </c>
      <c r="P4" s="54">
        <v>1.725403</v>
      </c>
      <c r="Q4" s="54">
        <v>9.185566</v>
      </c>
      <c r="R4" s="54">
        <v>0.179584</v>
      </c>
      <c r="S4" s="54">
        <v>0.137403</v>
      </c>
      <c r="T4" s="64">
        <v>0.802571</v>
      </c>
    </row>
    <row r="5" customFormat="1" spans="2:20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="2" customFormat="1" spans="1:20">
      <c r="A6" s="4" t="s">
        <v>22</v>
      </c>
      <c r="B6" s="2" t="s">
        <v>19</v>
      </c>
      <c r="C6" s="54">
        <v>0.00414</v>
      </c>
      <c r="D6" s="54">
        <v>1.410868</v>
      </c>
      <c r="E6" s="54">
        <v>2.095849</v>
      </c>
      <c r="F6" s="54">
        <v>0.548625</v>
      </c>
      <c r="G6" s="54">
        <v>3.448231</v>
      </c>
      <c r="H6" s="54">
        <v>67.380308</v>
      </c>
      <c r="I6" s="54">
        <v>0.968789</v>
      </c>
      <c r="J6" s="54">
        <v>0.548625</v>
      </c>
      <c r="K6" s="54">
        <v>0.148021</v>
      </c>
      <c r="L6" s="54">
        <v>1.088325</v>
      </c>
      <c r="M6" s="54">
        <v>0.00414</v>
      </c>
      <c r="N6" s="54">
        <v>1.410868</v>
      </c>
      <c r="O6" s="54">
        <v>2.095849</v>
      </c>
      <c r="P6" s="54">
        <v>1.583708</v>
      </c>
      <c r="Q6" s="54">
        <v>8.220691</v>
      </c>
      <c r="R6" s="54">
        <v>0.181031</v>
      </c>
      <c r="S6" s="54">
        <v>0.146841</v>
      </c>
      <c r="T6" s="64">
        <v>1.088325</v>
      </c>
    </row>
    <row r="7" s="8" customFormat="1" spans="1:20">
      <c r="A7" s="4"/>
      <c r="B7" s="8" t="s">
        <v>20</v>
      </c>
      <c r="C7" s="54">
        <v>0.003135</v>
      </c>
      <c r="D7" s="54">
        <v>0.876388</v>
      </c>
      <c r="E7" s="54">
        <v>1.79714</v>
      </c>
      <c r="F7" s="54">
        <v>0.528918</v>
      </c>
      <c r="G7" s="54">
        <v>2.920245</v>
      </c>
      <c r="H7" s="54">
        <v>42.393657</v>
      </c>
      <c r="I7" s="54">
        <v>1.042898</v>
      </c>
      <c r="J7" s="54">
        <v>0.528918</v>
      </c>
      <c r="K7" s="54">
        <v>0.06635</v>
      </c>
      <c r="L7" s="54">
        <v>0.676034</v>
      </c>
      <c r="M7" s="54">
        <v>0.003135</v>
      </c>
      <c r="N7" s="54">
        <v>0.876388</v>
      </c>
      <c r="O7" s="54">
        <v>1.79714</v>
      </c>
      <c r="P7" s="54">
        <v>1.250689</v>
      </c>
      <c r="Q7" s="54">
        <v>5.172211</v>
      </c>
      <c r="R7" s="54">
        <v>0.126243</v>
      </c>
      <c r="S7" s="54">
        <v>0.065456</v>
      </c>
      <c r="T7" s="64">
        <v>0.676034</v>
      </c>
    </row>
    <row r="8" s="8" customFormat="1" spans="1:20">
      <c r="A8" s="4"/>
      <c r="B8" s="8" t="s">
        <v>21</v>
      </c>
      <c r="C8" s="54">
        <v>0.004368</v>
      </c>
      <c r="D8" s="54">
        <v>1.040426</v>
      </c>
      <c r="E8" s="54">
        <v>2.277308</v>
      </c>
      <c r="F8" s="54">
        <v>0.648287</v>
      </c>
      <c r="G8" s="54">
        <v>3.964715</v>
      </c>
      <c r="H8" s="54">
        <v>75.288832</v>
      </c>
      <c r="I8" s="54">
        <v>1.348611</v>
      </c>
      <c r="J8" s="54">
        <v>0.648287</v>
      </c>
      <c r="K8" s="54">
        <v>0.138648</v>
      </c>
      <c r="L8" s="54">
        <v>0.802571</v>
      </c>
      <c r="M8" s="54">
        <v>0.004368</v>
      </c>
      <c r="N8" s="54">
        <v>1.040426</v>
      </c>
      <c r="O8" s="54">
        <v>2.277308</v>
      </c>
      <c r="P8" s="54">
        <v>1.725403</v>
      </c>
      <c r="Q8" s="54">
        <v>9.185566</v>
      </c>
      <c r="R8" s="54">
        <v>0.179584</v>
      </c>
      <c r="S8" s="54">
        <v>0.137403</v>
      </c>
      <c r="T8" s="64">
        <v>0.802571</v>
      </c>
    </row>
    <row r="10" s="2" customFormat="1" spans="1:20">
      <c r="A10" s="4" t="s">
        <v>23</v>
      </c>
      <c r="B10" s="2" t="s">
        <v>19</v>
      </c>
      <c r="C10" s="54">
        <v>0.00414</v>
      </c>
      <c r="D10" s="54">
        <v>1.410868</v>
      </c>
      <c r="E10" s="54">
        <v>2.095849</v>
      </c>
      <c r="F10" s="54">
        <v>0.548625</v>
      </c>
      <c r="G10" s="54">
        <v>3.448231</v>
      </c>
      <c r="H10" s="54">
        <v>93.803958</v>
      </c>
      <c r="I10" s="54">
        <v>0.968789</v>
      </c>
      <c r="J10" s="54">
        <v>0.548625</v>
      </c>
      <c r="K10" s="54">
        <v>0.148021</v>
      </c>
      <c r="L10" s="54">
        <v>1.088325</v>
      </c>
      <c r="M10" s="54">
        <v>0.00414</v>
      </c>
      <c r="N10" s="54">
        <v>1.410868</v>
      </c>
      <c r="O10" s="54">
        <v>2.095849</v>
      </c>
      <c r="P10" s="54">
        <v>1.583708</v>
      </c>
      <c r="Q10" s="54">
        <v>8.220691</v>
      </c>
      <c r="R10" s="54">
        <v>0.181031</v>
      </c>
      <c r="S10" s="54">
        <v>0.146841</v>
      </c>
      <c r="T10" s="64">
        <v>1.088325</v>
      </c>
    </row>
    <row r="11" s="8" customFormat="1" spans="1:20">
      <c r="A11" s="4"/>
      <c r="B11" s="8" t="s">
        <v>20</v>
      </c>
      <c r="C11" s="54">
        <v>0.003135</v>
      </c>
      <c r="D11" s="54">
        <v>0.876388</v>
      </c>
      <c r="E11" s="54">
        <v>1.79714</v>
      </c>
      <c r="F11" s="54">
        <v>0.528918</v>
      </c>
      <c r="G11" s="54">
        <v>2.920245</v>
      </c>
      <c r="H11" s="54">
        <v>59.01862</v>
      </c>
      <c r="I11" s="54">
        <v>1.042898</v>
      </c>
      <c r="J11" s="54">
        <v>0.528918</v>
      </c>
      <c r="K11" s="54">
        <v>0.06635</v>
      </c>
      <c r="L11" s="54">
        <v>0.676034</v>
      </c>
      <c r="M11" s="54">
        <v>0.003135</v>
      </c>
      <c r="N11" s="54">
        <v>0.876388</v>
      </c>
      <c r="O11" s="54">
        <v>1.79714</v>
      </c>
      <c r="P11" s="54">
        <v>1.250689</v>
      </c>
      <c r="Q11" s="54">
        <v>5.172211</v>
      </c>
      <c r="R11" s="54">
        <v>0.126243</v>
      </c>
      <c r="S11" s="54">
        <v>0.065456</v>
      </c>
      <c r="T11" s="64">
        <v>0.676034</v>
      </c>
    </row>
    <row r="12" s="8" customFormat="1" spans="1:20">
      <c r="A12" s="4"/>
      <c r="B12" s="8" t="s">
        <v>21</v>
      </c>
      <c r="C12" s="54">
        <v>0.004368</v>
      </c>
      <c r="D12" s="54">
        <v>1.040426</v>
      </c>
      <c r="E12" s="54">
        <v>2.277308</v>
      </c>
      <c r="F12" s="54">
        <v>0.648287</v>
      </c>
      <c r="G12" s="54">
        <v>3.964715</v>
      </c>
      <c r="H12" s="54">
        <v>104.813864</v>
      </c>
      <c r="I12" s="54">
        <v>1.348611</v>
      </c>
      <c r="J12" s="54">
        <v>0.648287</v>
      </c>
      <c r="K12" s="54">
        <v>0.138648</v>
      </c>
      <c r="L12" s="54">
        <v>0.802571</v>
      </c>
      <c r="M12" s="54">
        <v>0.004368</v>
      </c>
      <c r="N12" s="54">
        <v>1.040426</v>
      </c>
      <c r="O12" s="54">
        <v>2.277308</v>
      </c>
      <c r="P12" s="54">
        <v>1.725403</v>
      </c>
      <c r="Q12" s="54">
        <v>9.185566</v>
      </c>
      <c r="R12" s="54">
        <v>0.179584</v>
      </c>
      <c r="S12" s="54">
        <v>0.137403</v>
      </c>
      <c r="T12" s="64">
        <v>0.802571</v>
      </c>
    </row>
    <row r="15" spans="1:3">
      <c r="A15" s="4" t="s">
        <v>18</v>
      </c>
      <c r="C15" s="2" t="s">
        <v>24</v>
      </c>
    </row>
    <row r="16" spans="2:3">
      <c r="B16" s="2" t="s">
        <v>19</v>
      </c>
      <c r="C16" s="5">
        <f>SUM(C2:T2)</f>
        <v>65.949584</v>
      </c>
    </row>
    <row r="17" spans="2:3">
      <c r="B17" s="8" t="s">
        <v>20</v>
      </c>
      <c r="C17" s="5">
        <f>SUM(C3:T3)</f>
        <v>44.176015</v>
      </c>
    </row>
    <row r="18" spans="2:3">
      <c r="B18" s="8" t="s">
        <v>21</v>
      </c>
      <c r="C18" s="5">
        <f>SUM(C4:T4)</f>
        <v>71.98965</v>
      </c>
    </row>
    <row r="19" spans="3:3">
      <c r="C19" s="5"/>
    </row>
    <row r="20" spans="3:3">
      <c r="C20" s="5"/>
    </row>
    <row r="21" spans="3:3">
      <c r="C21" s="5" t="s">
        <v>24</v>
      </c>
    </row>
    <row r="22" spans="1:3">
      <c r="A22" s="4" t="s">
        <v>22</v>
      </c>
      <c r="B22" s="2" t="s">
        <v>19</v>
      </c>
      <c r="C22" s="5">
        <f>SUM(C6:T6)</f>
        <v>92.373234</v>
      </c>
    </row>
    <row r="23" spans="2:3">
      <c r="B23" s="8" t="s">
        <v>20</v>
      </c>
      <c r="C23" s="5">
        <f>SUM(C7:T7)</f>
        <v>60.800979</v>
      </c>
    </row>
    <row r="24" spans="2:3">
      <c r="B24" s="8" t="s">
        <v>21</v>
      </c>
      <c r="C24" s="5">
        <f>SUM(C8:T8)</f>
        <v>101.514682</v>
      </c>
    </row>
    <row r="25" spans="3:3">
      <c r="C25" s="5"/>
    </row>
    <row r="26" spans="3:3">
      <c r="C26" s="5"/>
    </row>
    <row r="27" spans="3:3">
      <c r="C27" s="5" t="s">
        <v>24</v>
      </c>
    </row>
    <row r="28" spans="1:3">
      <c r="A28" s="4" t="s">
        <v>23</v>
      </c>
      <c r="B28" s="2" t="s">
        <v>19</v>
      </c>
      <c r="C28" s="5">
        <f>SUM(C10:T10)</f>
        <v>118.796884</v>
      </c>
    </row>
    <row r="29" spans="2:3">
      <c r="B29" s="8" t="s">
        <v>20</v>
      </c>
      <c r="C29" s="5">
        <f>SUM(C11:T11)</f>
        <v>77.425942</v>
      </c>
    </row>
    <row r="30" spans="2:3">
      <c r="B30" s="8" t="s">
        <v>21</v>
      </c>
      <c r="C30" s="5">
        <f>SUM(C12:T12)</f>
        <v>131.039714</v>
      </c>
    </row>
    <row r="31" spans="3:3">
      <c r="C31" s="5"/>
    </row>
    <row r="32" spans="3:3">
      <c r="C32" s="5"/>
    </row>
    <row r="39" spans="20:23">
      <c r="T39" s="55" t="s">
        <v>25</v>
      </c>
      <c r="U39" s="56"/>
      <c r="V39" s="56"/>
      <c r="W39" s="57"/>
    </row>
    <row r="40" spans="20:23">
      <c r="T40" s="58"/>
      <c r="U40" s="2" t="s">
        <v>19</v>
      </c>
      <c r="V40" s="8" t="s">
        <v>20</v>
      </c>
      <c r="W40" s="59" t="s">
        <v>21</v>
      </c>
    </row>
    <row r="41" spans="20:23">
      <c r="T41" s="23" t="s">
        <v>0</v>
      </c>
      <c r="U41" s="54">
        <f>C2</f>
        <v>0.00414</v>
      </c>
      <c r="V41" s="54">
        <f>C3</f>
        <v>0.003135</v>
      </c>
      <c r="W41" s="60">
        <f>C4</f>
        <v>0.004368</v>
      </c>
    </row>
    <row r="42" spans="20:23">
      <c r="T42" s="23" t="s">
        <v>1</v>
      </c>
      <c r="U42" s="54">
        <f>D2</f>
        <v>1.410868</v>
      </c>
      <c r="V42" s="54">
        <f>D3</f>
        <v>0.876388</v>
      </c>
      <c r="W42" s="60">
        <f>D4</f>
        <v>1.040426</v>
      </c>
    </row>
    <row r="43" spans="20:23">
      <c r="T43" s="23" t="s">
        <v>2</v>
      </c>
      <c r="U43" s="54">
        <f>E2</f>
        <v>2.095849</v>
      </c>
      <c r="V43" s="54">
        <f>E3</f>
        <v>1.79714</v>
      </c>
      <c r="W43" s="60">
        <f>E4</f>
        <v>2.277308</v>
      </c>
    </row>
    <row r="44" spans="20:23">
      <c r="T44" s="23" t="s">
        <v>3</v>
      </c>
      <c r="U44" s="54">
        <f>F2</f>
        <v>0.548625</v>
      </c>
      <c r="V44" s="54">
        <f>F3</f>
        <v>0.528918</v>
      </c>
      <c r="W44" s="60">
        <f>F4</f>
        <v>0.648287</v>
      </c>
    </row>
    <row r="45" spans="20:23">
      <c r="T45" s="23" t="s">
        <v>4</v>
      </c>
      <c r="U45" s="54">
        <f>G2</f>
        <v>3.448231</v>
      </c>
      <c r="V45" s="54">
        <f>G3</f>
        <v>2.920245</v>
      </c>
      <c r="W45" s="60">
        <f>G4</f>
        <v>3.964715</v>
      </c>
    </row>
    <row r="46" spans="20:23">
      <c r="T46" s="34" t="s">
        <v>26</v>
      </c>
      <c r="U46" s="61">
        <f>H2</f>
        <v>40.956658</v>
      </c>
      <c r="V46" s="61">
        <f>H3</f>
        <v>25.768693</v>
      </c>
      <c r="W46" s="62">
        <f>H4</f>
        <v>45.7638</v>
      </c>
    </row>
    <row r="47" spans="20:23">
      <c r="T47" s="34" t="s">
        <v>27</v>
      </c>
      <c r="U47" s="61">
        <f>H6</f>
        <v>67.380308</v>
      </c>
      <c r="V47" s="61">
        <f>H7</f>
        <v>42.393657</v>
      </c>
      <c r="W47" s="62">
        <f>H8</f>
        <v>75.288832</v>
      </c>
    </row>
    <row r="48" spans="20:23">
      <c r="T48" s="34" t="s">
        <v>28</v>
      </c>
      <c r="U48" s="61">
        <f>H10</f>
        <v>93.803958</v>
      </c>
      <c r="V48" s="61">
        <f>H11</f>
        <v>59.01862</v>
      </c>
      <c r="W48" s="62">
        <f>H12</f>
        <v>104.813864</v>
      </c>
    </row>
    <row r="49" spans="20:23">
      <c r="T49" s="23" t="s">
        <v>6</v>
      </c>
      <c r="U49" s="54">
        <f>I2</f>
        <v>0.968789</v>
      </c>
      <c r="V49" s="54">
        <f>I3</f>
        <v>1.042898</v>
      </c>
      <c r="W49" s="60">
        <f>I4</f>
        <v>1.348611</v>
      </c>
    </row>
    <row r="50" spans="20:23">
      <c r="T50" s="23" t="s">
        <v>7</v>
      </c>
      <c r="U50" s="54">
        <f>J2</f>
        <v>0.548625</v>
      </c>
      <c r="V50" s="54">
        <f>J3</f>
        <v>0.528918</v>
      </c>
      <c r="W50" s="60">
        <f>J4</f>
        <v>0.648287</v>
      </c>
    </row>
    <row r="51" spans="20:23">
      <c r="T51" s="23" t="s">
        <v>8</v>
      </c>
      <c r="U51" s="54">
        <f>K2</f>
        <v>0.148021</v>
      </c>
      <c r="V51" s="54">
        <f>K3</f>
        <v>0.06635</v>
      </c>
      <c r="W51" s="60">
        <f>K4</f>
        <v>0.138648</v>
      </c>
    </row>
    <row r="52" spans="20:23">
      <c r="T52" s="23" t="s">
        <v>9</v>
      </c>
      <c r="U52" s="54">
        <f>L2</f>
        <v>1.088325</v>
      </c>
      <c r="V52" s="54">
        <f>L3</f>
        <v>0.676034</v>
      </c>
      <c r="W52" s="60">
        <f>L4</f>
        <v>0.802571</v>
      </c>
    </row>
    <row r="53" spans="20:23">
      <c r="T53" s="23" t="s">
        <v>10</v>
      </c>
      <c r="U53" s="54">
        <f>M2</f>
        <v>0.00414</v>
      </c>
      <c r="V53" s="54">
        <f>M3</f>
        <v>0.003135</v>
      </c>
      <c r="W53" s="60">
        <f>M4</f>
        <v>0.004368</v>
      </c>
    </row>
    <row r="54" spans="20:23">
      <c r="T54" s="23" t="s">
        <v>11</v>
      </c>
      <c r="U54" s="54">
        <f>N2</f>
        <v>1.410868</v>
      </c>
      <c r="V54" s="54">
        <f>N3</f>
        <v>0.876388</v>
      </c>
      <c r="W54" s="60">
        <f>N4</f>
        <v>1.040426</v>
      </c>
    </row>
    <row r="55" spans="20:23">
      <c r="T55" s="23" t="s">
        <v>12</v>
      </c>
      <c r="U55" s="54">
        <f>O2</f>
        <v>2.095849</v>
      </c>
      <c r="V55" s="54">
        <f>O3</f>
        <v>1.79714</v>
      </c>
      <c r="W55" s="60">
        <f>O4</f>
        <v>2.277308</v>
      </c>
    </row>
    <row r="56" spans="20:23">
      <c r="T56" s="23" t="s">
        <v>13</v>
      </c>
      <c r="U56" s="54">
        <f>P2</f>
        <v>1.583708</v>
      </c>
      <c r="V56" s="54">
        <f>P3</f>
        <v>1.250689</v>
      </c>
      <c r="W56" s="60">
        <f>P4</f>
        <v>1.725403</v>
      </c>
    </row>
    <row r="57" spans="20:23">
      <c r="T57" s="23" t="s">
        <v>14</v>
      </c>
      <c r="U57" s="54">
        <f>Q2</f>
        <v>8.220691</v>
      </c>
      <c r="V57" s="54">
        <f>Q3</f>
        <v>5.172211</v>
      </c>
      <c r="W57" s="60">
        <f>Q4</f>
        <v>9.185566</v>
      </c>
    </row>
    <row r="58" spans="20:23">
      <c r="T58" s="23" t="s">
        <v>15</v>
      </c>
      <c r="U58" s="54">
        <f>R2</f>
        <v>0.181031</v>
      </c>
      <c r="V58" s="54">
        <f>R3</f>
        <v>0.126243</v>
      </c>
      <c r="W58" s="60">
        <f>R4</f>
        <v>0.179584</v>
      </c>
    </row>
    <row r="59" spans="20:23">
      <c r="T59" s="23" t="s">
        <v>16</v>
      </c>
      <c r="U59" s="54">
        <f>S2</f>
        <v>0.146841</v>
      </c>
      <c r="V59" s="54">
        <f>S3</f>
        <v>0.065456</v>
      </c>
      <c r="W59" s="60">
        <f>S4</f>
        <v>0.137403</v>
      </c>
    </row>
    <row r="60" spans="20:23">
      <c r="T60" s="43" t="s">
        <v>17</v>
      </c>
      <c r="U60" s="46">
        <f>T2</f>
        <v>1.088325</v>
      </c>
      <c r="V60" s="46">
        <f>T3</f>
        <v>0.676034</v>
      </c>
      <c r="W60" s="63">
        <f>T4</f>
        <v>0.802571</v>
      </c>
    </row>
  </sheetData>
  <mergeCells count="4">
    <mergeCell ref="T39:W39"/>
    <mergeCell ref="A2:A4"/>
    <mergeCell ref="A6:A8"/>
    <mergeCell ref="A10:A12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0"/>
  <sheetViews>
    <sheetView tabSelected="1" zoomScalePageLayoutView="27" workbookViewId="0">
      <selection activeCell="K13" sqref="K13"/>
    </sheetView>
  </sheetViews>
  <sheetFormatPr defaultColWidth="9" defaultRowHeight="14.4"/>
  <cols>
    <col min="1" max="1" width="9" style="2"/>
    <col min="2" max="2" width="15.1111111111111" style="2" customWidth="1"/>
    <col min="3" max="3" width="11.1111111111111" style="2" customWidth="1"/>
    <col min="4" max="4" width="11.7777777777778" style="2" customWidth="1"/>
    <col min="5" max="5" width="15.4444444444444" style="2" customWidth="1"/>
    <col min="6" max="6" width="17.6666666666667" style="2" customWidth="1"/>
    <col min="7" max="7" width="16" style="2" customWidth="1"/>
    <col min="8" max="8" width="10.6666666666667" style="2" customWidth="1"/>
    <col min="9" max="9" width="18.8888888888889" style="2" customWidth="1"/>
    <col min="10" max="10" width="16.7777777777778" style="2" customWidth="1"/>
    <col min="11" max="11" width="18" style="2" customWidth="1"/>
    <col min="12" max="12" width="14.4444444444444" style="2" customWidth="1"/>
    <col min="13" max="13" width="10.2222222222222" style="2" customWidth="1"/>
    <col min="14" max="14" width="19.5555555555556" style="2" customWidth="1"/>
    <col min="15" max="15" width="23.1111111111111" style="2" customWidth="1"/>
    <col min="16" max="16" width="23.7777777777778" style="2" customWidth="1"/>
    <col min="17" max="17" width="14" style="2" customWidth="1"/>
    <col min="18" max="18" width="26.6666666666667" style="2" customWidth="1"/>
    <col min="19" max="19" width="25.7777777777778" style="2" customWidth="1"/>
    <col min="20" max="20" width="25.0925925925926" style="2" customWidth="1"/>
    <col min="21" max="23" width="14.5" style="2" customWidth="1"/>
    <col min="24" max="24" width="9" style="2"/>
    <col min="25" max="27" width="10.6666666666667" style="2"/>
    <col min="28" max="16384" width="9" style="2"/>
  </cols>
  <sheetData>
    <row r="1" spans="3:20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</row>
    <row r="2" spans="1:20">
      <c r="A2" s="4" t="s">
        <v>18</v>
      </c>
      <c r="B2" s="2" t="s">
        <v>19</v>
      </c>
      <c r="C2" s="54">
        <v>0.00414</v>
      </c>
      <c r="D2" s="54">
        <v>2.655278</v>
      </c>
      <c r="E2" s="54">
        <v>2.819013</v>
      </c>
      <c r="F2" s="54">
        <v>0.548909</v>
      </c>
      <c r="G2" s="54">
        <v>5.65707</v>
      </c>
      <c r="H2" s="54">
        <v>30.361973</v>
      </c>
      <c r="I2" s="54">
        <v>3.170643</v>
      </c>
      <c r="J2" s="54">
        <v>0.548909</v>
      </c>
      <c r="K2" s="54">
        <v>0.073526</v>
      </c>
      <c r="L2" s="54">
        <v>2.33266</v>
      </c>
      <c r="M2" s="54">
        <v>0.00414</v>
      </c>
      <c r="N2" s="54">
        <v>2.655278</v>
      </c>
      <c r="O2" s="54">
        <v>2.819013</v>
      </c>
      <c r="P2" s="54">
        <v>1.953182</v>
      </c>
      <c r="Q2" s="54">
        <v>5.813995</v>
      </c>
      <c r="R2" s="54">
        <v>0.104002</v>
      </c>
      <c r="S2" s="54">
        <v>0.079146</v>
      </c>
      <c r="T2" s="54">
        <v>2.33266</v>
      </c>
    </row>
    <row r="3" s="8" customFormat="1" spans="1:20">
      <c r="A3" s="4"/>
      <c r="B3" s="8" t="s">
        <v>20</v>
      </c>
      <c r="C3" s="54">
        <v>0.003135</v>
      </c>
      <c r="D3" s="54">
        <v>1.649377</v>
      </c>
      <c r="E3" s="54">
        <v>2.55495</v>
      </c>
      <c r="F3" s="54">
        <v>0.529222</v>
      </c>
      <c r="G3" s="54">
        <v>4.903259</v>
      </c>
      <c r="H3" s="54">
        <v>19.434765</v>
      </c>
      <c r="I3" s="54">
        <v>3.020624</v>
      </c>
      <c r="J3" s="54">
        <v>0.529222</v>
      </c>
      <c r="K3" s="54">
        <v>0.476162</v>
      </c>
      <c r="L3" s="54">
        <v>1.448976</v>
      </c>
      <c r="M3" s="54">
        <v>0.003135</v>
      </c>
      <c r="N3" s="54">
        <v>1.649377</v>
      </c>
      <c r="O3" s="54">
        <v>2.55495</v>
      </c>
      <c r="P3" s="54">
        <v>1.582202</v>
      </c>
      <c r="Q3" s="54">
        <v>3.721551</v>
      </c>
      <c r="R3" s="54">
        <v>0.057049</v>
      </c>
      <c r="S3" s="54">
        <v>0.480418</v>
      </c>
      <c r="T3" s="54">
        <v>1.448976</v>
      </c>
    </row>
    <row r="4" s="8" customFormat="1" spans="1:20">
      <c r="A4" s="4"/>
      <c r="B4" s="8" t="s">
        <v>21</v>
      </c>
      <c r="C4" s="54">
        <v>0.004368</v>
      </c>
      <c r="D4" s="54">
        <v>1.958099</v>
      </c>
      <c r="E4" s="54">
        <v>3.106308</v>
      </c>
      <c r="F4" s="54">
        <v>0.648757</v>
      </c>
      <c r="G4" s="54">
        <v>6.62402</v>
      </c>
      <c r="H4" s="54">
        <v>33.958109</v>
      </c>
      <c r="I4" s="54">
        <v>4.000546</v>
      </c>
      <c r="J4" s="54">
        <v>0.648757</v>
      </c>
      <c r="K4" s="54">
        <v>0.209495</v>
      </c>
      <c r="L4" s="54">
        <v>1.720189</v>
      </c>
      <c r="M4" s="54">
        <v>0.004368</v>
      </c>
      <c r="N4" s="54">
        <v>1.958099</v>
      </c>
      <c r="O4" s="54">
        <v>3.106308</v>
      </c>
      <c r="P4" s="54">
        <v>2.170028</v>
      </c>
      <c r="Q4" s="54">
        <v>6.502617</v>
      </c>
      <c r="R4" s="54">
        <v>0.086804</v>
      </c>
      <c r="S4" s="54">
        <v>0.215425</v>
      </c>
      <c r="T4" s="54">
        <v>1.720189</v>
      </c>
    </row>
    <row r="5" customFormat="1" spans="2:20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="2" customFormat="1" spans="1:20">
      <c r="A6" s="4" t="s">
        <v>22</v>
      </c>
      <c r="B6" s="2" t="s">
        <v>19</v>
      </c>
      <c r="C6" s="54">
        <v>0.00414</v>
      </c>
      <c r="D6" s="54">
        <v>2.655278</v>
      </c>
      <c r="E6" s="54">
        <v>2.819013</v>
      </c>
      <c r="F6" s="54">
        <v>0.548909</v>
      </c>
      <c r="G6" s="54">
        <v>5.65707</v>
      </c>
      <c r="H6" s="54">
        <v>56.201949</v>
      </c>
      <c r="I6" s="54">
        <v>3.170643</v>
      </c>
      <c r="J6" s="54">
        <v>0.548909</v>
      </c>
      <c r="K6" s="54">
        <v>0.073526</v>
      </c>
      <c r="L6" s="54">
        <v>2.33266</v>
      </c>
      <c r="M6" s="54">
        <v>0.00414</v>
      </c>
      <c r="N6" s="54">
        <v>2.655278</v>
      </c>
      <c r="O6" s="54">
        <v>2.819013</v>
      </c>
      <c r="P6" s="54">
        <v>1.953182</v>
      </c>
      <c r="Q6" s="54">
        <v>5.813995</v>
      </c>
      <c r="R6" s="54">
        <v>0.104002</v>
      </c>
      <c r="S6" s="54">
        <v>0.079146</v>
      </c>
      <c r="T6" s="54">
        <v>2.33266</v>
      </c>
    </row>
    <row r="7" s="8" customFormat="1" spans="1:20">
      <c r="A7" s="4"/>
      <c r="B7" s="8" t="s">
        <v>20</v>
      </c>
      <c r="C7" s="54">
        <v>0.003135</v>
      </c>
      <c r="D7" s="54">
        <v>1.649377</v>
      </c>
      <c r="E7" s="54">
        <v>2.55495</v>
      </c>
      <c r="F7" s="54">
        <v>0.529222</v>
      </c>
      <c r="G7" s="54">
        <v>4.903259</v>
      </c>
      <c r="H7" s="54">
        <v>35.974991</v>
      </c>
      <c r="I7" s="54">
        <v>3.020624</v>
      </c>
      <c r="J7" s="54">
        <v>0.529222</v>
      </c>
      <c r="K7" s="54">
        <v>0.476162</v>
      </c>
      <c r="L7" s="54">
        <v>1.448976</v>
      </c>
      <c r="M7" s="54">
        <v>0.003135</v>
      </c>
      <c r="N7" s="54">
        <v>1.649377</v>
      </c>
      <c r="O7" s="54">
        <v>2.55495</v>
      </c>
      <c r="P7" s="54">
        <v>1.582202</v>
      </c>
      <c r="Q7" s="54">
        <v>3.721551</v>
      </c>
      <c r="R7" s="54">
        <v>0.057049</v>
      </c>
      <c r="S7" s="54">
        <v>0.480418</v>
      </c>
      <c r="T7" s="54">
        <v>1.448976</v>
      </c>
    </row>
    <row r="8" s="8" customFormat="1" spans="1:20">
      <c r="A8" s="4"/>
      <c r="B8" s="8" t="s">
        <v>21</v>
      </c>
      <c r="C8" s="54">
        <v>0.004368</v>
      </c>
      <c r="D8" s="54">
        <v>1.958099</v>
      </c>
      <c r="E8" s="54">
        <v>3.106308</v>
      </c>
      <c r="F8" s="54">
        <v>0.648757</v>
      </c>
      <c r="G8" s="54">
        <v>6.62402</v>
      </c>
      <c r="H8" s="54">
        <v>62.858627</v>
      </c>
      <c r="I8" s="54">
        <v>4.000546</v>
      </c>
      <c r="J8" s="54">
        <v>0.648757</v>
      </c>
      <c r="K8" s="54">
        <v>0.209495</v>
      </c>
      <c r="L8" s="54">
        <v>1.720189</v>
      </c>
      <c r="M8" s="54">
        <v>0.004368</v>
      </c>
      <c r="N8" s="54">
        <v>1.958099</v>
      </c>
      <c r="O8" s="54">
        <v>3.106308</v>
      </c>
      <c r="P8" s="54">
        <v>2.170028</v>
      </c>
      <c r="Q8" s="54">
        <v>6.502617</v>
      </c>
      <c r="R8" s="54">
        <v>0.086804</v>
      </c>
      <c r="S8" s="54">
        <v>0.215425</v>
      </c>
      <c r="T8" s="54">
        <v>1.720189</v>
      </c>
    </row>
    <row r="10" s="2" customFormat="1" spans="1:20">
      <c r="A10" s="4" t="s">
        <v>23</v>
      </c>
      <c r="B10" s="2" t="s">
        <v>19</v>
      </c>
      <c r="C10" s="54">
        <v>0.00414</v>
      </c>
      <c r="D10" s="54">
        <v>2.655278</v>
      </c>
      <c r="E10" s="54">
        <v>2.819013</v>
      </c>
      <c r="F10" s="54">
        <v>0.548909</v>
      </c>
      <c r="G10" s="54">
        <v>5.65707</v>
      </c>
      <c r="H10" s="54">
        <v>82.041926</v>
      </c>
      <c r="I10" s="54">
        <v>3.170643</v>
      </c>
      <c r="J10" s="54">
        <v>0.548909</v>
      </c>
      <c r="K10" s="54">
        <v>0.073526</v>
      </c>
      <c r="L10" s="54">
        <v>2.33266</v>
      </c>
      <c r="M10" s="54">
        <v>0.00414</v>
      </c>
      <c r="N10" s="54">
        <v>2.655278</v>
      </c>
      <c r="O10" s="54">
        <v>2.819013</v>
      </c>
      <c r="P10" s="54">
        <v>1.953182</v>
      </c>
      <c r="Q10" s="54">
        <v>5.813995</v>
      </c>
      <c r="R10" s="54">
        <v>0.104002</v>
      </c>
      <c r="S10" s="54">
        <v>0.079146</v>
      </c>
      <c r="T10" s="54">
        <v>2.33266</v>
      </c>
    </row>
    <row r="11" s="8" customFormat="1" spans="1:20">
      <c r="A11" s="4"/>
      <c r="B11" s="8" t="s">
        <v>20</v>
      </c>
      <c r="C11" s="54">
        <v>0.003135</v>
      </c>
      <c r="D11" s="54">
        <v>1.649377</v>
      </c>
      <c r="E11" s="54">
        <v>2.55495</v>
      </c>
      <c r="F11" s="54">
        <v>0.529222</v>
      </c>
      <c r="G11" s="54">
        <v>4.903259</v>
      </c>
      <c r="H11" s="54">
        <v>52.515216</v>
      </c>
      <c r="I11" s="54">
        <v>3.020624</v>
      </c>
      <c r="J11" s="54">
        <v>0.529222</v>
      </c>
      <c r="K11" s="54">
        <v>0.476162</v>
      </c>
      <c r="L11" s="54">
        <v>1.448976</v>
      </c>
      <c r="M11" s="54">
        <v>0.003135</v>
      </c>
      <c r="N11" s="54">
        <v>1.649377</v>
      </c>
      <c r="O11" s="54">
        <v>2.55495</v>
      </c>
      <c r="P11" s="54">
        <v>1.582202</v>
      </c>
      <c r="Q11" s="54">
        <v>3.721551</v>
      </c>
      <c r="R11" s="54">
        <v>0.057049</v>
      </c>
      <c r="S11" s="54">
        <v>0.480418</v>
      </c>
      <c r="T11" s="54">
        <v>1.448976</v>
      </c>
    </row>
    <row r="12" s="8" customFormat="1" spans="1:20">
      <c r="A12" s="4"/>
      <c r="B12" s="8" t="s">
        <v>21</v>
      </c>
      <c r="C12" s="54">
        <v>0.004368</v>
      </c>
      <c r="D12" s="54">
        <v>1.958099</v>
      </c>
      <c r="E12" s="54">
        <v>3.106308</v>
      </c>
      <c r="F12" s="54">
        <v>0.648757</v>
      </c>
      <c r="G12" s="54">
        <v>6.62402</v>
      </c>
      <c r="H12" s="54">
        <v>91.759145</v>
      </c>
      <c r="I12" s="54">
        <v>4.000546</v>
      </c>
      <c r="J12" s="54">
        <v>0.648757</v>
      </c>
      <c r="K12" s="54">
        <v>0.209495</v>
      </c>
      <c r="L12" s="54">
        <v>1.720189</v>
      </c>
      <c r="M12" s="54">
        <v>0.004368</v>
      </c>
      <c r="N12" s="54">
        <v>1.958099</v>
      </c>
      <c r="O12" s="54">
        <v>3.106308</v>
      </c>
      <c r="P12" s="54">
        <v>2.170028</v>
      </c>
      <c r="Q12" s="54">
        <v>6.502617</v>
      </c>
      <c r="R12" s="54">
        <v>0.086804</v>
      </c>
      <c r="S12" s="54">
        <v>0.215425</v>
      </c>
      <c r="T12" s="54">
        <v>1.720189</v>
      </c>
    </row>
    <row r="15" spans="1:3">
      <c r="A15" s="4" t="s">
        <v>18</v>
      </c>
      <c r="C15" s="2" t="s">
        <v>24</v>
      </c>
    </row>
    <row r="16" spans="2:3">
      <c r="B16" s="2" t="s">
        <v>19</v>
      </c>
      <c r="C16" s="5">
        <f>SUM(C2:T2)</f>
        <v>63.933537</v>
      </c>
    </row>
    <row r="17" spans="2:3">
      <c r="B17" s="8" t="s">
        <v>20</v>
      </c>
      <c r="C17" s="5">
        <f>SUM(C3:T3)</f>
        <v>46.04735</v>
      </c>
    </row>
    <row r="18" spans="2:3">
      <c r="B18" s="8" t="s">
        <v>21</v>
      </c>
      <c r="C18" s="5">
        <f>SUM(C4:T4)</f>
        <v>68.642486</v>
      </c>
    </row>
    <row r="19" spans="3:3">
      <c r="C19" s="5"/>
    </row>
    <row r="20" spans="3:3">
      <c r="C20" s="5"/>
    </row>
    <row r="21" spans="3:3">
      <c r="C21" s="5" t="s">
        <v>24</v>
      </c>
    </row>
    <row r="22" spans="1:3">
      <c r="A22" s="4" t="s">
        <v>22</v>
      </c>
      <c r="B22" s="2" t="s">
        <v>19</v>
      </c>
      <c r="C22" s="5">
        <f t="shared" ref="C22:C24" si="0">SUM(C6:T6)</f>
        <v>89.773513</v>
      </c>
    </row>
    <row r="23" spans="2:3">
      <c r="B23" s="8" t="s">
        <v>20</v>
      </c>
      <c r="C23" s="5">
        <f t="shared" si="0"/>
        <v>62.587576</v>
      </c>
    </row>
    <row r="24" spans="2:3">
      <c r="B24" s="8" t="s">
        <v>21</v>
      </c>
      <c r="C24" s="5">
        <f t="shared" si="0"/>
        <v>97.543004</v>
      </c>
    </row>
    <row r="25" spans="3:3">
      <c r="C25" s="5"/>
    </row>
    <row r="26" spans="3:3">
      <c r="C26" s="5"/>
    </row>
    <row r="27" spans="3:3">
      <c r="C27" s="5" t="s">
        <v>24</v>
      </c>
    </row>
    <row r="28" spans="1:3">
      <c r="A28" s="4" t="s">
        <v>23</v>
      </c>
      <c r="B28" s="2" t="s">
        <v>19</v>
      </c>
      <c r="C28" s="5">
        <f t="shared" ref="C28:C30" si="1">SUM(C10:T10)</f>
        <v>115.61349</v>
      </c>
    </row>
    <row r="29" spans="2:3">
      <c r="B29" s="8" t="s">
        <v>20</v>
      </c>
      <c r="C29" s="5">
        <f t="shared" si="1"/>
        <v>79.127801</v>
      </c>
    </row>
    <row r="30" spans="2:3">
      <c r="B30" s="8" t="s">
        <v>21</v>
      </c>
      <c r="C30" s="5">
        <f t="shared" si="1"/>
        <v>126.443522</v>
      </c>
    </row>
    <row r="31" spans="3:3">
      <c r="C31" s="5"/>
    </row>
    <row r="32" spans="3:3">
      <c r="C32" s="5"/>
    </row>
    <row r="39" spans="20:23">
      <c r="T39" s="55" t="s">
        <v>25</v>
      </c>
      <c r="U39" s="56"/>
      <c r="V39" s="56"/>
      <c r="W39" s="57"/>
    </row>
    <row r="40" spans="20:23">
      <c r="T40" s="58"/>
      <c r="U40" s="2" t="s">
        <v>19</v>
      </c>
      <c r="V40" s="8" t="s">
        <v>20</v>
      </c>
      <c r="W40" s="59" t="s">
        <v>21</v>
      </c>
    </row>
    <row r="41" spans="20:27">
      <c r="T41" s="23" t="s">
        <v>0</v>
      </c>
      <c r="U41" s="54">
        <f>C2</f>
        <v>0.00414</v>
      </c>
      <c r="V41" s="54">
        <f>C3</f>
        <v>0.003135</v>
      </c>
      <c r="W41" s="60">
        <f>C4</f>
        <v>0.004368</v>
      </c>
      <c r="Y41" s="54"/>
      <c r="Z41" s="54"/>
      <c r="AA41" s="54"/>
    </row>
    <row r="42" spans="20:27">
      <c r="T42" s="23" t="s">
        <v>1</v>
      </c>
      <c r="U42" s="54">
        <f>D2</f>
        <v>2.655278</v>
      </c>
      <c r="V42" s="54">
        <f>D3</f>
        <v>1.649377</v>
      </c>
      <c r="W42" s="60">
        <f>D4</f>
        <v>1.958099</v>
      </c>
      <c r="Y42" s="54"/>
      <c r="Z42" s="54"/>
      <c r="AA42" s="54"/>
    </row>
    <row r="43" spans="20:27">
      <c r="T43" s="23" t="s">
        <v>2</v>
      </c>
      <c r="U43" s="54">
        <f>E2</f>
        <v>2.819013</v>
      </c>
      <c r="V43" s="54">
        <f>E3</f>
        <v>2.55495</v>
      </c>
      <c r="W43" s="60">
        <f>E4</f>
        <v>3.106308</v>
      </c>
      <c r="Y43" s="54"/>
      <c r="Z43" s="54"/>
      <c r="AA43" s="54"/>
    </row>
    <row r="44" spans="20:27">
      <c r="T44" s="23" t="s">
        <v>3</v>
      </c>
      <c r="U44" s="54">
        <f>F2</f>
        <v>0.548909</v>
      </c>
      <c r="V44" s="54">
        <f>F3</f>
        <v>0.529222</v>
      </c>
      <c r="W44" s="60">
        <f>F4</f>
        <v>0.648757</v>
      </c>
      <c r="Y44" s="54"/>
      <c r="Z44" s="54"/>
      <c r="AA44" s="54"/>
    </row>
    <row r="45" spans="20:27">
      <c r="T45" s="23" t="s">
        <v>4</v>
      </c>
      <c r="U45" s="54">
        <f>G2</f>
        <v>5.65707</v>
      </c>
      <c r="V45" s="54">
        <f>G3</f>
        <v>4.903259</v>
      </c>
      <c r="W45" s="60">
        <f>G4</f>
        <v>6.62402</v>
      </c>
      <c r="Y45" s="54"/>
      <c r="Z45" s="54"/>
      <c r="AA45" s="54"/>
    </row>
    <row r="46" spans="20:27">
      <c r="T46" s="34" t="s">
        <v>26</v>
      </c>
      <c r="U46" s="61">
        <f>H2</f>
        <v>30.361973</v>
      </c>
      <c r="V46" s="61">
        <f>H3</f>
        <v>19.434765</v>
      </c>
      <c r="W46" s="62">
        <f>H4</f>
        <v>33.958109</v>
      </c>
      <c r="Y46" s="54"/>
      <c r="Z46" s="54"/>
      <c r="AA46" s="54"/>
    </row>
    <row r="47" spans="20:27">
      <c r="T47" s="34" t="s">
        <v>27</v>
      </c>
      <c r="U47" s="61">
        <f>H6</f>
        <v>56.201949</v>
      </c>
      <c r="V47" s="61">
        <f>H7</f>
        <v>35.974991</v>
      </c>
      <c r="W47" s="62">
        <f>H8</f>
        <v>62.858627</v>
      </c>
      <c r="Y47" s="54"/>
      <c r="Z47" s="54"/>
      <c r="AA47" s="54"/>
    </row>
    <row r="48" spans="20:27">
      <c r="T48" s="34" t="s">
        <v>28</v>
      </c>
      <c r="U48" s="61">
        <f>H10</f>
        <v>82.041926</v>
      </c>
      <c r="V48" s="61">
        <f>H11</f>
        <v>52.515216</v>
      </c>
      <c r="W48" s="62">
        <f>H12</f>
        <v>91.759145</v>
      </c>
      <c r="Y48" s="54"/>
      <c r="Z48" s="54"/>
      <c r="AA48" s="54"/>
    </row>
    <row r="49" spans="20:27">
      <c r="T49" s="23" t="s">
        <v>6</v>
      </c>
      <c r="U49" s="54">
        <f>I2</f>
        <v>3.170643</v>
      </c>
      <c r="V49" s="54">
        <f>I3</f>
        <v>3.020624</v>
      </c>
      <c r="W49" s="60">
        <f>I4</f>
        <v>4.000546</v>
      </c>
      <c r="Y49" s="54"/>
      <c r="Z49" s="54"/>
      <c r="AA49" s="54"/>
    </row>
    <row r="50" spans="20:27">
      <c r="T50" s="23" t="s">
        <v>7</v>
      </c>
      <c r="U50" s="54">
        <f>J2</f>
        <v>0.548909</v>
      </c>
      <c r="V50" s="54">
        <f>J3</f>
        <v>0.529222</v>
      </c>
      <c r="W50" s="60">
        <f>J4</f>
        <v>0.648757</v>
      </c>
      <c r="Y50" s="54"/>
      <c r="Z50" s="54"/>
      <c r="AA50" s="54"/>
    </row>
    <row r="51" spans="20:27">
      <c r="T51" s="23" t="s">
        <v>8</v>
      </c>
      <c r="U51" s="54">
        <f>K2</f>
        <v>0.073526</v>
      </c>
      <c r="V51" s="54">
        <f>K3</f>
        <v>0.476162</v>
      </c>
      <c r="W51" s="60">
        <f>K4</f>
        <v>0.209495</v>
      </c>
      <c r="Y51" s="54"/>
      <c r="Z51" s="54"/>
      <c r="AA51" s="54"/>
    </row>
    <row r="52" spans="20:27">
      <c r="T52" s="23" t="s">
        <v>9</v>
      </c>
      <c r="U52" s="54">
        <f>L2</f>
        <v>2.33266</v>
      </c>
      <c r="V52" s="54">
        <f>L3</f>
        <v>1.448976</v>
      </c>
      <c r="W52" s="60">
        <f>L4</f>
        <v>1.720189</v>
      </c>
      <c r="Y52" s="54"/>
      <c r="Z52" s="54"/>
      <c r="AA52" s="54"/>
    </row>
    <row r="53" spans="20:27">
      <c r="T53" s="23" t="s">
        <v>10</v>
      </c>
      <c r="U53" s="54">
        <f>M2</f>
        <v>0.00414</v>
      </c>
      <c r="V53" s="54">
        <f>M3</f>
        <v>0.003135</v>
      </c>
      <c r="W53" s="60">
        <f>M4</f>
        <v>0.004368</v>
      </c>
      <c r="Y53" s="54"/>
      <c r="Z53" s="54"/>
      <c r="AA53" s="54"/>
    </row>
    <row r="54" spans="20:27">
      <c r="T54" s="23" t="s">
        <v>11</v>
      </c>
      <c r="U54" s="54">
        <f>N2</f>
        <v>2.655278</v>
      </c>
      <c r="V54" s="54">
        <f>N3</f>
        <v>1.649377</v>
      </c>
      <c r="W54" s="60">
        <f>N4</f>
        <v>1.958099</v>
      </c>
      <c r="Y54" s="54"/>
      <c r="Z54" s="54"/>
      <c r="AA54" s="54"/>
    </row>
    <row r="55" spans="20:27">
      <c r="T55" s="23" t="s">
        <v>12</v>
      </c>
      <c r="U55" s="54">
        <f>O2</f>
        <v>2.819013</v>
      </c>
      <c r="V55" s="54">
        <f>O3</f>
        <v>2.55495</v>
      </c>
      <c r="W55" s="60">
        <f>O4</f>
        <v>3.106308</v>
      </c>
      <c r="Y55" s="54"/>
      <c r="Z55" s="54"/>
      <c r="AA55" s="54"/>
    </row>
    <row r="56" spans="20:27">
      <c r="T56" s="23" t="s">
        <v>13</v>
      </c>
      <c r="U56" s="54">
        <f>P2</f>
        <v>1.953182</v>
      </c>
      <c r="V56" s="54">
        <f>P3</f>
        <v>1.582202</v>
      </c>
      <c r="W56" s="60">
        <f>P4</f>
        <v>2.170028</v>
      </c>
      <c r="Y56" s="54"/>
      <c r="Z56" s="54"/>
      <c r="AA56" s="54"/>
    </row>
    <row r="57" spans="20:27">
      <c r="T57" s="23" t="s">
        <v>14</v>
      </c>
      <c r="U57" s="54">
        <f>Q2</f>
        <v>5.813995</v>
      </c>
      <c r="V57" s="54">
        <f>Q3</f>
        <v>3.721551</v>
      </c>
      <c r="W57" s="60">
        <f>Q4</f>
        <v>6.502617</v>
      </c>
      <c r="Y57" s="54"/>
      <c r="Z57" s="54"/>
      <c r="AA57" s="54"/>
    </row>
    <row r="58" spans="20:27">
      <c r="T58" s="23" t="s">
        <v>15</v>
      </c>
      <c r="U58" s="54">
        <f>R2</f>
        <v>0.104002</v>
      </c>
      <c r="V58" s="54">
        <f>R3</f>
        <v>0.057049</v>
      </c>
      <c r="W58" s="60">
        <f>R4</f>
        <v>0.086804</v>
      </c>
      <c r="Y58" s="54"/>
      <c r="Z58" s="54"/>
      <c r="AA58" s="54"/>
    </row>
    <row r="59" spans="20:27">
      <c r="T59" s="23" t="s">
        <v>16</v>
      </c>
      <c r="U59" s="54">
        <f>S2</f>
        <v>0.079146</v>
      </c>
      <c r="V59" s="54">
        <f>S3</f>
        <v>0.480418</v>
      </c>
      <c r="W59" s="60">
        <f>S4</f>
        <v>0.215425</v>
      </c>
      <c r="Y59" s="54"/>
      <c r="Z59" s="54"/>
      <c r="AA59" s="54"/>
    </row>
    <row r="60" spans="20:27">
      <c r="T60" s="43" t="s">
        <v>17</v>
      </c>
      <c r="U60" s="46">
        <f>T2</f>
        <v>2.33266</v>
      </c>
      <c r="V60" s="46">
        <f>T3</f>
        <v>1.448976</v>
      </c>
      <c r="W60" s="63">
        <f>T4</f>
        <v>1.720189</v>
      </c>
      <c r="Y60" s="54"/>
      <c r="Z60" s="54"/>
      <c r="AA60" s="54"/>
    </row>
  </sheetData>
  <mergeCells count="4">
    <mergeCell ref="T39:W39"/>
    <mergeCell ref="A2:A4"/>
    <mergeCell ref="A6:A8"/>
    <mergeCell ref="A10:A12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zoomScale="55" zoomScaleNormal="55" workbookViewId="0">
      <selection activeCell="B40" sqref="B40"/>
    </sheetView>
  </sheetViews>
  <sheetFormatPr defaultColWidth="8.88888888888889" defaultRowHeight="14.4"/>
  <cols>
    <col min="2" max="2" width="26.6666666666667" customWidth="1"/>
    <col min="3" max="16" width="15.7777777777778" customWidth="1"/>
  </cols>
  <sheetData>
    <row r="1" spans="1:5">
      <c r="A1" s="1"/>
      <c r="B1" s="1"/>
      <c r="C1" s="2" t="s">
        <v>24</v>
      </c>
      <c r="D1" s="2"/>
      <c r="E1" s="3" t="s">
        <v>29</v>
      </c>
    </row>
    <row r="2" spans="1:5">
      <c r="A2" s="4" t="s">
        <v>18</v>
      </c>
      <c r="B2" s="2"/>
      <c r="C2" s="2" t="s">
        <v>30</v>
      </c>
      <c r="D2" s="2" t="s">
        <v>31</v>
      </c>
      <c r="E2" s="3"/>
    </row>
    <row r="3" spans="1:6">
      <c r="A3" s="2"/>
      <c r="B3" s="2" t="s">
        <v>19</v>
      </c>
      <c r="C3" s="5">
        <f>'1500 ft'!C16</f>
        <v>65.949584</v>
      </c>
      <c r="D3" s="5">
        <f>'3000 ft'!C16</f>
        <v>63.933537</v>
      </c>
      <c r="E3" s="6">
        <f>1-D3/C3</f>
        <v>0.0305695180730785</v>
      </c>
      <c r="F3" s="7"/>
    </row>
    <row r="4" spans="1:5">
      <c r="A4" s="2"/>
      <c r="B4" s="8" t="s">
        <v>20</v>
      </c>
      <c r="C4" s="5">
        <f>'1500 ft'!C17</f>
        <v>44.176015</v>
      </c>
      <c r="D4" s="5">
        <f>'3000 ft'!C17</f>
        <v>46.04735</v>
      </c>
      <c r="E4" s="9">
        <f>1-D4/C4</f>
        <v>-0.0423608829361364</v>
      </c>
    </row>
    <row r="5" spans="1:5">
      <c r="A5" s="2"/>
      <c r="B5" s="8" t="s">
        <v>21</v>
      </c>
      <c r="C5" s="5">
        <f>'1500 ft'!C18</f>
        <v>71.98965</v>
      </c>
      <c r="D5" s="5">
        <f>'3000 ft'!C18</f>
        <v>68.642486</v>
      </c>
      <c r="E5" s="6">
        <f>1-D5/C5</f>
        <v>0.0464950725555692</v>
      </c>
    </row>
    <row r="6" spans="1:5">
      <c r="A6" s="2"/>
      <c r="B6" s="2"/>
      <c r="C6" s="5"/>
      <c r="D6" s="1"/>
      <c r="E6" s="6"/>
    </row>
    <row r="7" spans="1:5">
      <c r="A7" s="4" t="s">
        <v>22</v>
      </c>
      <c r="B7" s="2" t="s">
        <v>19</v>
      </c>
      <c r="C7" s="5">
        <f>'1500 ft'!C22</f>
        <v>92.373234</v>
      </c>
      <c r="D7" s="5">
        <f>'3000 ft'!C22</f>
        <v>89.773513</v>
      </c>
      <c r="E7" s="6">
        <f>1-D7/C7</f>
        <v>0.0281436611821992</v>
      </c>
    </row>
    <row r="8" spans="1:5">
      <c r="A8" s="2"/>
      <c r="B8" s="8" t="s">
        <v>20</v>
      </c>
      <c r="C8" s="5">
        <f>'1500 ft'!C23</f>
        <v>60.800979</v>
      </c>
      <c r="D8" s="5">
        <f>'3000 ft'!C23</f>
        <v>62.587576</v>
      </c>
      <c r="E8" s="9">
        <f>1-D8/C8</f>
        <v>-0.0293843459329828</v>
      </c>
    </row>
    <row r="9" spans="1:5">
      <c r="A9" s="2"/>
      <c r="B9" s="8" t="s">
        <v>21</v>
      </c>
      <c r="C9" s="5">
        <f>'1500 ft'!C24</f>
        <v>101.514682</v>
      </c>
      <c r="D9" s="5">
        <f>'3000 ft'!C24</f>
        <v>97.543004</v>
      </c>
      <c r="E9" s="6">
        <f>1-D9/C9</f>
        <v>0.0391241731910267</v>
      </c>
    </row>
    <row r="10" spans="1:5">
      <c r="A10" s="2"/>
      <c r="B10" s="2"/>
      <c r="C10" s="5"/>
      <c r="D10" s="2"/>
      <c r="E10" s="6"/>
    </row>
    <row r="11" spans="1:5">
      <c r="A11" s="4" t="s">
        <v>23</v>
      </c>
      <c r="B11" s="2" t="s">
        <v>19</v>
      </c>
      <c r="C11" s="5">
        <f>'1500 ft'!C28</f>
        <v>118.796884</v>
      </c>
      <c r="D11" s="5">
        <f>'3000 ft'!C28</f>
        <v>115.61349</v>
      </c>
      <c r="E11" s="6">
        <f>1-D11/C11</f>
        <v>0.0267969486472389</v>
      </c>
    </row>
    <row r="12" spans="1:5">
      <c r="A12" s="2"/>
      <c r="B12" s="8" t="s">
        <v>20</v>
      </c>
      <c r="C12" s="5">
        <f>'1500 ft'!C29</f>
        <v>77.425942</v>
      </c>
      <c r="D12" s="5">
        <f>'3000 ft'!C29</f>
        <v>79.127801</v>
      </c>
      <c r="E12" s="9">
        <f>1-D12/C12</f>
        <v>-0.0219804752262494</v>
      </c>
    </row>
    <row r="13" spans="1:5">
      <c r="A13" s="2"/>
      <c r="B13" s="8" t="s">
        <v>21</v>
      </c>
      <c r="C13" s="5">
        <f>'1500 ft'!C30</f>
        <v>131.039714</v>
      </c>
      <c r="D13" s="5">
        <f>'3000 ft'!C30</f>
        <v>126.443522</v>
      </c>
      <c r="E13" s="6">
        <f>1-D13/C13</f>
        <v>0.0350748018268721</v>
      </c>
    </row>
    <row r="17" spans="2:11">
      <c r="B17" s="10" t="s">
        <v>25</v>
      </c>
      <c r="C17" s="11"/>
      <c r="D17" s="11"/>
      <c r="E17" s="11"/>
      <c r="F17" s="11"/>
      <c r="G17" s="11"/>
      <c r="H17" s="11"/>
      <c r="I17" s="11"/>
      <c r="J17" s="11"/>
      <c r="K17" s="45"/>
    </row>
    <row r="18" spans="2:11">
      <c r="B18" s="12" t="s">
        <v>32</v>
      </c>
      <c r="C18" s="13" t="s">
        <v>19</v>
      </c>
      <c r="D18" s="14"/>
      <c r="E18" s="15"/>
      <c r="F18" s="16" t="s">
        <v>20</v>
      </c>
      <c r="G18" s="17"/>
      <c r="H18" s="18"/>
      <c r="I18" s="17" t="s">
        <v>21</v>
      </c>
      <c r="J18" s="17"/>
      <c r="K18" s="18"/>
    </row>
    <row r="19" spans="2:11">
      <c r="B19" s="19"/>
      <c r="C19" s="20" t="s">
        <v>30</v>
      </c>
      <c r="D19" s="21" t="s">
        <v>31</v>
      </c>
      <c r="E19" s="22" t="s">
        <v>29</v>
      </c>
      <c r="F19" s="20" t="s">
        <v>30</v>
      </c>
      <c r="G19" s="21" t="s">
        <v>31</v>
      </c>
      <c r="H19" s="22" t="s">
        <v>29</v>
      </c>
      <c r="I19" s="46" t="s">
        <v>30</v>
      </c>
      <c r="J19" s="21" t="s">
        <v>31</v>
      </c>
      <c r="K19" s="22" t="s">
        <v>29</v>
      </c>
    </row>
    <row r="20" spans="2:11">
      <c r="B20" s="23" t="s">
        <v>0</v>
      </c>
      <c r="C20" s="24">
        <f>'1500 ft'!U41</f>
        <v>0.00414</v>
      </c>
      <c r="D20" s="25" cm="1">
        <f t="array" ref="D20:D39">'3000 ft'!U41:U60</f>
        <v>0.00414</v>
      </c>
      <c r="E20" s="26">
        <f>1-C20/D20</f>
        <v>0</v>
      </c>
      <c r="F20" s="24" cm="1">
        <f t="array" ref="F20:F39">'1500 ft'!V41:V60</f>
        <v>0.003135</v>
      </c>
      <c r="G20" s="25" cm="1">
        <f t="array" ref="G20:G39">'3000 ft'!V41:V60</f>
        <v>0.003135</v>
      </c>
      <c r="H20" s="26">
        <f t="shared" ref="H20:H39" si="0">1-F20/G20</f>
        <v>0</v>
      </c>
      <c r="I20" s="47" cm="1">
        <f t="array" ref="I20:I39">'1500 ft'!W41:W60</f>
        <v>0.004368</v>
      </c>
      <c r="J20" s="25" cm="1">
        <f t="array" ref="J20:J39">'3000 ft'!W41:W60</f>
        <v>0.004368</v>
      </c>
      <c r="K20" s="26">
        <f t="shared" ref="K20:K39" si="1">1-I20/J20</f>
        <v>0</v>
      </c>
    </row>
    <row r="21" spans="2:11">
      <c r="B21" s="23" t="s">
        <v>1</v>
      </c>
      <c r="C21" s="27">
        <f>'1500 ft'!U42</f>
        <v>1.410868</v>
      </c>
      <c r="D21" s="28">
        <v>2.655278</v>
      </c>
      <c r="E21" s="29">
        <f t="shared" ref="E21:E39" si="2">1-C21/D21</f>
        <v>0.468655259449293</v>
      </c>
      <c r="F21" s="27">
        <v>0.876388</v>
      </c>
      <c r="G21" s="28">
        <v>1.649377</v>
      </c>
      <c r="H21" s="29">
        <f t="shared" si="0"/>
        <v>0.468655134635684</v>
      </c>
      <c r="I21" s="48">
        <v>1.040426</v>
      </c>
      <c r="J21" s="49">
        <v>1.958099</v>
      </c>
      <c r="K21" s="29">
        <f t="shared" si="1"/>
        <v>0.468655057788191</v>
      </c>
    </row>
    <row r="22" spans="2:11">
      <c r="B22" s="23" t="s">
        <v>2</v>
      </c>
      <c r="C22" s="27">
        <f>'1500 ft'!U43</f>
        <v>2.095849</v>
      </c>
      <c r="D22" s="28">
        <v>2.819013</v>
      </c>
      <c r="E22" s="29">
        <f t="shared" si="2"/>
        <v>0.256530920573974</v>
      </c>
      <c r="F22" s="27">
        <v>1.79714</v>
      </c>
      <c r="G22" s="28">
        <v>2.55495</v>
      </c>
      <c r="H22" s="29">
        <f t="shared" si="0"/>
        <v>0.296604630227597</v>
      </c>
      <c r="I22" s="48">
        <v>2.277308</v>
      </c>
      <c r="J22" s="49">
        <v>3.106308</v>
      </c>
      <c r="K22" s="29">
        <f t="shared" si="1"/>
        <v>0.266876304603407</v>
      </c>
    </row>
    <row r="23" spans="2:11">
      <c r="B23" s="23" t="s">
        <v>3</v>
      </c>
      <c r="C23" s="27">
        <f>'1500 ft'!U44</f>
        <v>0.548625</v>
      </c>
      <c r="D23" s="28">
        <v>0.548909</v>
      </c>
      <c r="E23" s="29">
        <f t="shared" si="2"/>
        <v>0.000517389949882263</v>
      </c>
      <c r="F23" s="27">
        <v>0.528918</v>
      </c>
      <c r="G23" s="28">
        <v>0.529222</v>
      </c>
      <c r="H23" s="29">
        <f t="shared" si="0"/>
        <v>0.000574428122791515</v>
      </c>
      <c r="I23" s="48">
        <v>0.648287</v>
      </c>
      <c r="J23" s="49">
        <v>0.648757</v>
      </c>
      <c r="K23" s="29">
        <f t="shared" si="1"/>
        <v>0.000724462317940433</v>
      </c>
    </row>
    <row r="24" spans="2:11">
      <c r="B24" s="23" t="s">
        <v>4</v>
      </c>
      <c r="C24" s="27">
        <f>'1500 ft'!U45</f>
        <v>3.448231</v>
      </c>
      <c r="D24" s="28">
        <v>5.65707</v>
      </c>
      <c r="E24" s="29">
        <f t="shared" si="2"/>
        <v>0.390456366988565</v>
      </c>
      <c r="F24" s="27">
        <v>2.920245</v>
      </c>
      <c r="G24" s="28">
        <v>4.903259</v>
      </c>
      <c r="H24" s="29">
        <f t="shared" si="0"/>
        <v>0.404427748972673</v>
      </c>
      <c r="I24" s="48">
        <v>3.964715</v>
      </c>
      <c r="J24" s="49">
        <v>6.62402</v>
      </c>
      <c r="K24" s="29">
        <f t="shared" si="1"/>
        <v>0.401463914662093</v>
      </c>
    </row>
    <row r="25" spans="2:11">
      <c r="B25" s="30" t="s">
        <v>26</v>
      </c>
      <c r="C25" s="31">
        <f>'1500 ft'!U46</f>
        <v>40.956658</v>
      </c>
      <c r="D25" s="32">
        <v>30.361973</v>
      </c>
      <c r="E25" s="33">
        <f t="shared" si="2"/>
        <v>-0.348945867253093</v>
      </c>
      <c r="F25" s="31">
        <v>25.768693</v>
      </c>
      <c r="G25" s="32">
        <v>19.434765</v>
      </c>
      <c r="H25" s="33">
        <f t="shared" si="0"/>
        <v>-0.325907105128362</v>
      </c>
      <c r="I25" s="50">
        <v>45.7638</v>
      </c>
      <c r="J25" s="32">
        <v>33.958109</v>
      </c>
      <c r="K25" s="26">
        <f t="shared" si="1"/>
        <v>-0.347654546959608</v>
      </c>
    </row>
    <row r="26" spans="2:11">
      <c r="B26" s="34" t="s">
        <v>27</v>
      </c>
      <c r="C26" s="35">
        <f>'1500 ft'!U47</f>
        <v>67.380308</v>
      </c>
      <c r="D26" s="36">
        <v>56.201949</v>
      </c>
      <c r="E26" s="37">
        <f t="shared" si="2"/>
        <v>-0.198896287386759</v>
      </c>
      <c r="F26" s="35">
        <v>42.393657</v>
      </c>
      <c r="G26" s="36">
        <v>35.974991</v>
      </c>
      <c r="H26" s="37">
        <f t="shared" si="0"/>
        <v>-0.178420225317082</v>
      </c>
      <c r="I26" s="51">
        <v>75.288832</v>
      </c>
      <c r="J26" s="52">
        <v>62.858627</v>
      </c>
      <c r="K26" s="29">
        <f t="shared" si="1"/>
        <v>-0.197748592249716</v>
      </c>
    </row>
    <row r="27" spans="2:11">
      <c r="B27" s="38" t="s">
        <v>28</v>
      </c>
      <c r="C27" s="39">
        <f>'1500 ft'!U48</f>
        <v>93.803958</v>
      </c>
      <c r="D27" s="40">
        <v>82.041926</v>
      </c>
      <c r="E27" s="41">
        <f t="shared" si="2"/>
        <v>-0.143366112589799</v>
      </c>
      <c r="F27" s="39">
        <v>59.01862</v>
      </c>
      <c r="G27" s="40">
        <v>52.515216</v>
      </c>
      <c r="H27" s="41">
        <f t="shared" si="0"/>
        <v>-0.12383846997792</v>
      </c>
      <c r="I27" s="53">
        <v>104.813864</v>
      </c>
      <c r="J27" s="40">
        <v>91.759145</v>
      </c>
      <c r="K27" s="44">
        <f t="shared" si="1"/>
        <v>-0.142271585028391</v>
      </c>
    </row>
    <row r="28" spans="2:11">
      <c r="B28" s="23" t="s">
        <v>6</v>
      </c>
      <c r="C28" s="27">
        <f>'1500 ft'!U49</f>
        <v>0.968789</v>
      </c>
      <c r="D28" s="28">
        <v>3.170643</v>
      </c>
      <c r="E28" s="29">
        <f t="shared" si="2"/>
        <v>0.694450305505855</v>
      </c>
      <c r="F28" s="27">
        <v>1.042898</v>
      </c>
      <c r="G28" s="28">
        <v>3.020624</v>
      </c>
      <c r="H28" s="29">
        <f t="shared" si="0"/>
        <v>0.654740874733168</v>
      </c>
      <c r="I28" s="48">
        <v>1.348611</v>
      </c>
      <c r="J28" s="49">
        <v>4.000546</v>
      </c>
      <c r="K28" s="29">
        <f t="shared" si="1"/>
        <v>0.662893265069318</v>
      </c>
    </row>
    <row r="29" spans="2:11">
      <c r="B29" s="23" t="s">
        <v>7</v>
      </c>
      <c r="C29" s="27">
        <f>'1500 ft'!U50</f>
        <v>0.548625</v>
      </c>
      <c r="D29" s="28">
        <v>0.548909</v>
      </c>
      <c r="E29" s="29">
        <f t="shared" si="2"/>
        <v>0.000517389949882263</v>
      </c>
      <c r="F29" s="27">
        <v>0.528918</v>
      </c>
      <c r="G29" s="28">
        <v>0.529222</v>
      </c>
      <c r="H29" s="29">
        <f t="shared" si="0"/>
        <v>0.000574428122791515</v>
      </c>
      <c r="I29" s="48">
        <v>0.648287</v>
      </c>
      <c r="J29" s="49">
        <v>0.648757</v>
      </c>
      <c r="K29" s="29">
        <f t="shared" si="1"/>
        <v>0.000724462317940433</v>
      </c>
    </row>
    <row r="30" spans="2:11">
      <c r="B30" s="23" t="s">
        <v>8</v>
      </c>
      <c r="C30" s="27">
        <f>'1500 ft'!U51</f>
        <v>0.148021</v>
      </c>
      <c r="D30" s="28">
        <v>0.073526</v>
      </c>
      <c r="E30" s="42">
        <f t="shared" si="2"/>
        <v>-1.01317901150613</v>
      </c>
      <c r="F30" s="27">
        <v>0.06635</v>
      </c>
      <c r="G30" s="28">
        <v>0.476162</v>
      </c>
      <c r="H30" s="42">
        <f t="shared" si="0"/>
        <v>0.860656667268703</v>
      </c>
      <c r="I30" s="48">
        <v>0.138648</v>
      </c>
      <c r="J30" s="49">
        <v>0.209495</v>
      </c>
      <c r="K30" s="42">
        <f t="shared" si="1"/>
        <v>0.338179908828373</v>
      </c>
    </row>
    <row r="31" spans="2:11">
      <c r="B31" s="23" t="s">
        <v>9</v>
      </c>
      <c r="C31" s="27">
        <f>'1500 ft'!U52</f>
        <v>1.088325</v>
      </c>
      <c r="D31" s="28">
        <v>2.33266</v>
      </c>
      <c r="E31" s="29">
        <f t="shared" si="2"/>
        <v>0.533440364219389</v>
      </c>
      <c r="F31" s="27">
        <v>0.676034</v>
      </c>
      <c r="G31" s="28">
        <v>1.448976</v>
      </c>
      <c r="H31" s="29">
        <f t="shared" si="0"/>
        <v>0.533440167400978</v>
      </c>
      <c r="I31" s="48">
        <v>0.802571</v>
      </c>
      <c r="J31" s="49">
        <v>1.720189</v>
      </c>
      <c r="K31" s="29">
        <f t="shared" si="1"/>
        <v>0.533440220812946</v>
      </c>
    </row>
    <row r="32" spans="2:11">
      <c r="B32" s="23" t="s">
        <v>10</v>
      </c>
      <c r="C32" s="27">
        <f>'1500 ft'!U53</f>
        <v>0.00414</v>
      </c>
      <c r="D32" s="28">
        <v>0.00414</v>
      </c>
      <c r="E32" s="29">
        <f t="shared" si="2"/>
        <v>0</v>
      </c>
      <c r="F32" s="27">
        <v>0.003135</v>
      </c>
      <c r="G32" s="28">
        <v>0.003135</v>
      </c>
      <c r="H32" s="29">
        <f t="shared" si="0"/>
        <v>0</v>
      </c>
      <c r="I32" s="48">
        <v>0.004368</v>
      </c>
      <c r="J32" s="49">
        <v>0.004368</v>
      </c>
      <c r="K32" s="29">
        <f t="shared" si="1"/>
        <v>0</v>
      </c>
    </row>
    <row r="33" spans="2:11">
      <c r="B33" s="23" t="s">
        <v>11</v>
      </c>
      <c r="C33" s="27">
        <f>'1500 ft'!U54</f>
        <v>1.410868</v>
      </c>
      <c r="D33" s="28">
        <v>2.655278</v>
      </c>
      <c r="E33" s="29">
        <f t="shared" si="2"/>
        <v>0.468655259449293</v>
      </c>
      <c r="F33" s="27">
        <v>0.876388</v>
      </c>
      <c r="G33" s="28">
        <v>1.649377</v>
      </c>
      <c r="H33" s="29">
        <f t="shared" si="0"/>
        <v>0.468655134635684</v>
      </c>
      <c r="I33" s="48">
        <v>1.040426</v>
      </c>
      <c r="J33" s="49">
        <v>1.958099</v>
      </c>
      <c r="K33" s="29">
        <f t="shared" si="1"/>
        <v>0.468655057788191</v>
      </c>
    </row>
    <row r="34" spans="2:11">
      <c r="B34" s="23" t="s">
        <v>12</v>
      </c>
      <c r="C34" s="27">
        <f>'1500 ft'!U55</f>
        <v>2.095849</v>
      </c>
      <c r="D34" s="28">
        <v>2.819013</v>
      </c>
      <c r="E34" s="29">
        <f t="shared" si="2"/>
        <v>0.256530920573974</v>
      </c>
      <c r="F34" s="27">
        <v>1.79714</v>
      </c>
      <c r="G34" s="28">
        <v>2.55495</v>
      </c>
      <c r="H34" s="29">
        <f t="shared" si="0"/>
        <v>0.296604630227597</v>
      </c>
      <c r="I34" s="48">
        <v>2.277308</v>
      </c>
      <c r="J34" s="49">
        <v>3.106308</v>
      </c>
      <c r="K34" s="29">
        <f t="shared" si="1"/>
        <v>0.266876304603407</v>
      </c>
    </row>
    <row r="35" spans="2:11">
      <c r="B35" s="23" t="s">
        <v>13</v>
      </c>
      <c r="C35" s="27">
        <f>'1500 ft'!U56</f>
        <v>1.583708</v>
      </c>
      <c r="D35" s="28">
        <v>1.953182</v>
      </c>
      <c r="E35" s="29">
        <f t="shared" si="2"/>
        <v>0.189165167403755</v>
      </c>
      <c r="F35" s="27">
        <v>1.250689</v>
      </c>
      <c r="G35" s="28">
        <v>1.582202</v>
      </c>
      <c r="H35" s="29">
        <f t="shared" si="0"/>
        <v>0.209526343665348</v>
      </c>
      <c r="I35" s="48">
        <v>1.725403</v>
      </c>
      <c r="J35" s="49">
        <v>2.170028</v>
      </c>
      <c r="K35" s="29">
        <f t="shared" si="1"/>
        <v>0.20489366957477</v>
      </c>
    </row>
    <row r="36" spans="2:11">
      <c r="B36" s="23" t="s">
        <v>14</v>
      </c>
      <c r="C36" s="27">
        <f>'1500 ft'!U57</f>
        <v>8.220691</v>
      </c>
      <c r="D36" s="28">
        <v>5.813995</v>
      </c>
      <c r="E36" s="29">
        <f t="shared" si="2"/>
        <v>-0.413948756405879</v>
      </c>
      <c r="F36" s="27">
        <v>5.172211</v>
      </c>
      <c r="G36" s="28">
        <v>3.721551</v>
      </c>
      <c r="H36" s="29">
        <f t="shared" si="0"/>
        <v>-0.389799844204741</v>
      </c>
      <c r="I36" s="48">
        <v>9.185566</v>
      </c>
      <c r="J36" s="49">
        <v>6.502617</v>
      </c>
      <c r="K36" s="29">
        <f t="shared" si="1"/>
        <v>-0.412595267413105</v>
      </c>
    </row>
    <row r="37" spans="2:11">
      <c r="B37" s="23" t="s">
        <v>15</v>
      </c>
      <c r="C37" s="27">
        <f>'1500 ft'!U58</f>
        <v>0.181031</v>
      </c>
      <c r="D37" s="28">
        <v>0.104002</v>
      </c>
      <c r="E37" s="29">
        <f t="shared" si="2"/>
        <v>-0.740649218284264</v>
      </c>
      <c r="F37" s="27">
        <v>0.126243</v>
      </c>
      <c r="G37" s="28">
        <v>0.057049</v>
      </c>
      <c r="H37" s="29">
        <f t="shared" si="0"/>
        <v>-1.21288716717208</v>
      </c>
      <c r="I37" s="48">
        <v>0.179584</v>
      </c>
      <c r="J37" s="49">
        <v>0.086804</v>
      </c>
      <c r="K37" s="29">
        <f t="shared" si="1"/>
        <v>-1.06884475369799</v>
      </c>
    </row>
    <row r="38" spans="2:11">
      <c r="B38" s="23" t="s">
        <v>16</v>
      </c>
      <c r="C38" s="27">
        <f>'1500 ft'!U59</f>
        <v>0.146841</v>
      </c>
      <c r="D38" s="28">
        <v>0.079146</v>
      </c>
      <c r="E38" s="42">
        <f t="shared" si="2"/>
        <v>-0.855318019862027</v>
      </c>
      <c r="F38" s="27">
        <v>0.065456</v>
      </c>
      <c r="G38" s="28">
        <v>0.480418</v>
      </c>
      <c r="H38" s="42">
        <f t="shared" si="0"/>
        <v>0.863751982648444</v>
      </c>
      <c r="I38" s="48">
        <v>0.137403</v>
      </c>
      <c r="J38" s="49">
        <v>0.215425</v>
      </c>
      <c r="K38" s="42">
        <f t="shared" si="1"/>
        <v>0.362177091795288</v>
      </c>
    </row>
    <row r="39" spans="2:11">
      <c r="B39" s="43" t="s">
        <v>17</v>
      </c>
      <c r="C39" s="20">
        <f>'1500 ft'!U60</f>
        <v>1.088325</v>
      </c>
      <c r="D39" s="21">
        <v>2.33266</v>
      </c>
      <c r="E39" s="44">
        <f t="shared" si="2"/>
        <v>0.533440364219389</v>
      </c>
      <c r="F39" s="20">
        <v>0.676034</v>
      </c>
      <c r="G39" s="21">
        <v>1.448976</v>
      </c>
      <c r="H39" s="44">
        <f t="shared" si="0"/>
        <v>0.533440167400978</v>
      </c>
      <c r="I39" s="46">
        <v>0.802571</v>
      </c>
      <c r="J39" s="21">
        <v>1.720189</v>
      </c>
      <c r="K39" s="44">
        <f t="shared" si="1"/>
        <v>0.533440220812946</v>
      </c>
    </row>
  </sheetData>
  <mergeCells count="7">
    <mergeCell ref="C1:D1"/>
    <mergeCell ref="B17:K17"/>
    <mergeCell ref="C18:E18"/>
    <mergeCell ref="F18:H18"/>
    <mergeCell ref="I18:K18"/>
    <mergeCell ref="B18:B19"/>
    <mergeCell ref="E1:E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1500 ft</vt:lpstr>
      <vt:lpstr>3000 ft</vt:lpstr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Khoa</cp:lastModifiedBy>
  <dcterms:created xsi:type="dcterms:W3CDTF">2025-07-21T09:59:00Z</dcterms:created>
  <dcterms:modified xsi:type="dcterms:W3CDTF">2025-11-11T20:45:35Z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7F0D986F09C54B05A6C596E0358D2797_12</vt:lpwstr>
  </property>
  <property fmtid="{D5CDD505-2E9C-101B-9397-08002B2CF9AE}" pid="3" name="KSOProductBuildVer">
    <vt:lpwstr>1033-12.2.0.23155</vt:lpwstr>
  </property>
</Properties>
</file>