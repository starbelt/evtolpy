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activeTab="1"/>
  </bookViews>
  <sheets>
    <sheet name="1500 ft" sheetId="1" r:id="rId1"/>
    <sheet name="3000 f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<sst xmlns="http://schemas.openxmlformats.org/spreadsheetml/2006/main" count="96" uniqueCount="29">
  <si>
    <t>Time (s)</t>
  </si>
  <si>
    <t>Depart Taxi</t>
  </si>
  <si>
    <t>Hover Climb</t>
  </si>
  <si>
    <t>Transition Climb</t>
  </si>
  <si>
    <t>Depart Procedures</t>
  </si>
  <si>
    <t>Accelerate Climb</t>
  </si>
  <si>
    <t>Cruise</t>
  </si>
  <si>
    <t>Decelerate Descend</t>
  </si>
  <si>
    <t>Arrive Procedures</t>
  </si>
  <si>
    <t>Transition Descend</t>
  </si>
  <si>
    <t>Hover Descend</t>
  </si>
  <si>
    <t>Arrive Taxi</t>
  </si>
  <si>
    <t>Reserve Hover Climb</t>
  </si>
  <si>
    <t>Reserve Transition Climb</t>
  </si>
  <si>
    <t>Reserve Accelerate Climb</t>
  </si>
  <si>
    <t>Reserve Cruise</t>
  </si>
  <si>
    <t>Reserve Decelerate Descend</t>
  </si>
  <si>
    <t>Reserve Transition Descend</t>
  </si>
  <si>
    <t>Reserve Hover Descend</t>
  </si>
  <si>
    <t>30 miles</t>
  </si>
  <si>
    <t>Archer Midnight</t>
  </si>
  <si>
    <t>Joby S4</t>
  </si>
  <si>
    <t>Supernal S-A2</t>
  </si>
  <si>
    <t>45 miles</t>
  </si>
  <si>
    <t>60 miles</t>
  </si>
  <si>
    <t>Total energy</t>
  </si>
  <si>
    <t>Segment Duration (s)</t>
  </si>
  <si>
    <t>Cummulative Time (s)</t>
  </si>
  <si>
    <t>Start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</si>
</sst>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 "/>
    <numFmt numFmtId="179" formatCode="0.0000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178" fontId="0" fillId="0" borderId="0" xfId="0" applyNumberFormat="1" applyFill="1" applyAlignment="1">
      <alignment horizontal="center" vertical="center"/>
    </xf>
    <xf numFmtId="9" fontId="0" fillId="0" borderId="0" xfId="0" applyNumberFormat="1" applyFont="1" applyFill="1" applyAlignment="1">
      <alignment horizontal="center" vertical="center"/>
    </xf>
    <xf numFmtId="10" fontId="0" fillId="0" borderId="0" xfId="3" applyNumberFormat="1" applyFill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8" fontId="0" fillId="0" borderId="0" xfId="0" applyNumberFormat="1" applyFon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Energy Remains VS. Flight Time</a:t>
            </a:r>
            <a:endParaRPr sz="1800"/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At 3000 ft</a:t>
            </a:r>
            <a:endParaRPr sz="1800"/>
          </a:p>
        </c:rich>
      </c:tx>
      <c:layout>
        <c:manualLayout>
          <c:xMode val="edge"/>
          <c:yMode val="edge"/>
          <c:x val="0.323135203027967"/>
          <c:y val="0.033390273848289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"30 mi - Archer Midnight"</c:f>
              <c:strCache>
                <c:ptCount val="1"/>
                <c:pt idx="0">
                  <c:v>30 mi - Archer Midnight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'3000 ft'!$C$2:$U$2</c:f>
              <c:numCache>
                <c:formatCode>General</c:formatCode>
                <c:ptCount val="19"/>
                <c:pt idx="0">
                  <c:v>0</c:v>
                </c:pt>
                <c:pt idx="1">
                  <c:v>30</c:v>
                </c:pt>
                <c:pt idx="2">
                  <c:v>42</c:v>
                </c:pt>
                <c:pt idx="3">
                  <c:v>72</c:v>
                </c:pt>
                <c:pt idx="4">
                  <c:v>90</c:v>
                </c:pt>
                <c:pt idx="5">
                  <c:v>234</c:v>
                </c:pt>
                <c:pt idx="6">
                  <c:v>657</c:v>
                </c:pt>
                <c:pt idx="7">
                  <c:v>801</c:v>
                </c:pt>
                <c:pt idx="8">
                  <c:v>819</c:v>
                </c:pt>
                <c:pt idx="9">
                  <c:v>849</c:v>
                </c:pt>
                <c:pt idx="10">
                  <c:v>861</c:v>
                </c:pt>
                <c:pt idx="11">
                  <c:v>891</c:v>
                </c:pt>
                <c:pt idx="12">
                  <c:v>903</c:v>
                </c:pt>
                <c:pt idx="13">
                  <c:v>933</c:v>
                </c:pt>
                <c:pt idx="14">
                  <c:v>957</c:v>
                </c:pt>
                <c:pt idx="15">
                  <c:v>1038</c:v>
                </c:pt>
                <c:pt idx="16">
                  <c:v>1062</c:v>
                </c:pt>
                <c:pt idx="17">
                  <c:v>1092</c:v>
                </c:pt>
                <c:pt idx="18">
                  <c:v>1104</c:v>
                </c:pt>
              </c:numCache>
            </c:numRef>
          </c:cat>
          <c:val>
            <c:numRef>
              <c:f>'3000 ft'!$C$5:$U$5</c:f>
              <c:numCache>
                <c:formatCode>0.00_ </c:formatCode>
                <c:ptCount val="19"/>
                <c:pt idx="0">
                  <c:v>63.933537</c:v>
                </c:pt>
                <c:pt idx="1">
                  <c:v>63.929397</c:v>
                </c:pt>
                <c:pt idx="2">
                  <c:v>61.274119</c:v>
                </c:pt>
                <c:pt idx="3">
                  <c:v>58.455106</c:v>
                </c:pt>
                <c:pt idx="4">
                  <c:v>57.906197</c:v>
                </c:pt>
                <c:pt idx="5">
                  <c:v>52.249127</c:v>
                </c:pt>
                <c:pt idx="6">
                  <c:v>21.887154</c:v>
                </c:pt>
                <c:pt idx="7">
                  <c:v>18.716511</c:v>
                </c:pt>
                <c:pt idx="8">
                  <c:v>18.167602</c:v>
                </c:pt>
                <c:pt idx="9">
                  <c:v>18.094076</c:v>
                </c:pt>
                <c:pt idx="10">
                  <c:v>15.761416</c:v>
                </c:pt>
                <c:pt idx="11">
                  <c:v>15.757276</c:v>
                </c:pt>
                <c:pt idx="12">
                  <c:v>13.101998</c:v>
                </c:pt>
                <c:pt idx="13">
                  <c:v>10.282985</c:v>
                </c:pt>
                <c:pt idx="14">
                  <c:v>8.329803</c:v>
                </c:pt>
                <c:pt idx="15">
                  <c:v>2.515808</c:v>
                </c:pt>
                <c:pt idx="16">
                  <c:v>2.411806</c:v>
                </c:pt>
                <c:pt idx="17">
                  <c:v>2.33266</c:v>
                </c:pt>
                <c:pt idx="18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"30 mi - Joby S4"</c:f>
              <c:strCache>
                <c:ptCount val="1"/>
                <c:pt idx="0">
                  <c:v>30 mi - Joby S4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'3000 ft'!$C$2:$U$2</c:f>
              <c:numCache>
                <c:formatCode>General</c:formatCode>
                <c:ptCount val="19"/>
                <c:pt idx="0">
                  <c:v>0</c:v>
                </c:pt>
                <c:pt idx="1">
                  <c:v>30</c:v>
                </c:pt>
                <c:pt idx="2">
                  <c:v>42</c:v>
                </c:pt>
                <c:pt idx="3">
                  <c:v>72</c:v>
                </c:pt>
                <c:pt idx="4">
                  <c:v>90</c:v>
                </c:pt>
                <c:pt idx="5">
                  <c:v>234</c:v>
                </c:pt>
                <c:pt idx="6">
                  <c:v>657</c:v>
                </c:pt>
                <c:pt idx="7">
                  <c:v>801</c:v>
                </c:pt>
                <c:pt idx="8">
                  <c:v>819</c:v>
                </c:pt>
                <c:pt idx="9">
                  <c:v>849</c:v>
                </c:pt>
                <c:pt idx="10">
                  <c:v>861</c:v>
                </c:pt>
                <c:pt idx="11">
                  <c:v>891</c:v>
                </c:pt>
                <c:pt idx="12">
                  <c:v>903</c:v>
                </c:pt>
                <c:pt idx="13">
                  <c:v>933</c:v>
                </c:pt>
                <c:pt idx="14">
                  <c:v>957</c:v>
                </c:pt>
                <c:pt idx="15">
                  <c:v>1038</c:v>
                </c:pt>
                <c:pt idx="16">
                  <c:v>1062</c:v>
                </c:pt>
                <c:pt idx="17">
                  <c:v>1092</c:v>
                </c:pt>
                <c:pt idx="18">
                  <c:v>1104</c:v>
                </c:pt>
              </c:numCache>
            </c:numRef>
          </c:cat>
          <c:val>
            <c:numRef>
              <c:f>'3000 ft'!$C$9:$U$9</c:f>
              <c:numCache>
                <c:formatCode>0.00_ </c:formatCode>
                <c:ptCount val="19"/>
                <c:pt idx="0">
                  <c:v>46.04735</c:v>
                </c:pt>
                <c:pt idx="1">
                  <c:v>46.044215</c:v>
                </c:pt>
                <c:pt idx="2">
                  <c:v>44.394838</c:v>
                </c:pt>
                <c:pt idx="3">
                  <c:v>41.839888</c:v>
                </c:pt>
                <c:pt idx="4">
                  <c:v>41.310666</c:v>
                </c:pt>
                <c:pt idx="5">
                  <c:v>36.407407</c:v>
                </c:pt>
                <c:pt idx="6">
                  <c:v>16.972642</c:v>
                </c:pt>
                <c:pt idx="7">
                  <c:v>13.952018</c:v>
                </c:pt>
                <c:pt idx="8">
                  <c:v>13.422796</c:v>
                </c:pt>
                <c:pt idx="9">
                  <c:v>12.946634</c:v>
                </c:pt>
                <c:pt idx="10">
                  <c:v>11.497658</c:v>
                </c:pt>
                <c:pt idx="11">
                  <c:v>11.494523</c:v>
                </c:pt>
                <c:pt idx="12">
                  <c:v>9.84514600000001</c:v>
                </c:pt>
                <c:pt idx="13">
                  <c:v>7.29019600000001</c:v>
                </c:pt>
                <c:pt idx="14">
                  <c:v>5.70799400000001</c:v>
                </c:pt>
                <c:pt idx="15">
                  <c:v>1.98644300000001</c:v>
                </c:pt>
                <c:pt idx="16">
                  <c:v>1.92939400000001</c:v>
                </c:pt>
                <c:pt idx="17">
                  <c:v>1.44897600000001</c:v>
                </c:pt>
                <c:pt idx="18">
                  <c:v>6.66133814775094e-15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"30 mi - Supernal S-A2"</c:f>
              <c:strCache>
                <c:ptCount val="1"/>
                <c:pt idx="0">
                  <c:v>30 mi - Supernal S-A2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'3000 ft'!$C$2:$U$2</c:f>
              <c:numCache>
                <c:formatCode>General</c:formatCode>
                <c:ptCount val="19"/>
                <c:pt idx="0">
                  <c:v>0</c:v>
                </c:pt>
                <c:pt idx="1">
                  <c:v>30</c:v>
                </c:pt>
                <c:pt idx="2">
                  <c:v>42</c:v>
                </c:pt>
                <c:pt idx="3">
                  <c:v>72</c:v>
                </c:pt>
                <c:pt idx="4">
                  <c:v>90</c:v>
                </c:pt>
                <c:pt idx="5">
                  <c:v>234</c:v>
                </c:pt>
                <c:pt idx="6">
                  <c:v>657</c:v>
                </c:pt>
                <c:pt idx="7">
                  <c:v>801</c:v>
                </c:pt>
                <c:pt idx="8">
                  <c:v>819</c:v>
                </c:pt>
                <c:pt idx="9">
                  <c:v>849</c:v>
                </c:pt>
                <c:pt idx="10">
                  <c:v>861</c:v>
                </c:pt>
                <c:pt idx="11">
                  <c:v>891</c:v>
                </c:pt>
                <c:pt idx="12">
                  <c:v>903</c:v>
                </c:pt>
                <c:pt idx="13">
                  <c:v>933</c:v>
                </c:pt>
                <c:pt idx="14">
                  <c:v>957</c:v>
                </c:pt>
                <c:pt idx="15">
                  <c:v>1038</c:v>
                </c:pt>
                <c:pt idx="16">
                  <c:v>1062</c:v>
                </c:pt>
                <c:pt idx="17">
                  <c:v>1092</c:v>
                </c:pt>
                <c:pt idx="18">
                  <c:v>1104</c:v>
                </c:pt>
              </c:numCache>
            </c:numRef>
          </c:cat>
          <c:val>
            <c:numRef>
              <c:f>'3000 ft'!$C$13:$U$13</c:f>
              <c:numCache>
                <c:formatCode>0.00_ </c:formatCode>
                <c:ptCount val="19"/>
                <c:pt idx="0">
                  <c:v>68.642486</c:v>
                </c:pt>
                <c:pt idx="1">
                  <c:v>68.638118</c:v>
                </c:pt>
                <c:pt idx="2">
                  <c:v>66.680019</c:v>
                </c:pt>
                <c:pt idx="3">
                  <c:v>63.573711</c:v>
                </c:pt>
                <c:pt idx="4">
                  <c:v>62.924954</c:v>
                </c:pt>
                <c:pt idx="5">
                  <c:v>56.300934</c:v>
                </c:pt>
                <c:pt idx="6">
                  <c:v>22.342825</c:v>
                </c:pt>
                <c:pt idx="7">
                  <c:v>18.342279</c:v>
                </c:pt>
                <c:pt idx="8">
                  <c:v>17.693522</c:v>
                </c:pt>
                <c:pt idx="9">
                  <c:v>17.484027</c:v>
                </c:pt>
                <c:pt idx="10">
                  <c:v>15.763838</c:v>
                </c:pt>
                <c:pt idx="11">
                  <c:v>15.75947</c:v>
                </c:pt>
                <c:pt idx="12">
                  <c:v>13.801371</c:v>
                </c:pt>
                <c:pt idx="13">
                  <c:v>10.695063</c:v>
                </c:pt>
                <c:pt idx="14">
                  <c:v>8.52503499999998</c:v>
                </c:pt>
                <c:pt idx="15">
                  <c:v>2.02241799999998</c:v>
                </c:pt>
                <c:pt idx="16">
                  <c:v>1.93561399999998</c:v>
                </c:pt>
                <c:pt idx="17">
                  <c:v>1.72018899999998</c:v>
                </c:pt>
                <c:pt idx="18">
                  <c:v>-1.68753899743024e-14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"45 mi - Archer Midnight"</c:f>
              <c:strCache>
                <c:ptCount val="1"/>
                <c:pt idx="0">
                  <c:v>45 mi - Archer Midnight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'3000 ft'!$C$2:$U$2</c:f>
              <c:numCache>
                <c:formatCode>General</c:formatCode>
                <c:ptCount val="19"/>
                <c:pt idx="0">
                  <c:v>0</c:v>
                </c:pt>
                <c:pt idx="1">
                  <c:v>30</c:v>
                </c:pt>
                <c:pt idx="2">
                  <c:v>42</c:v>
                </c:pt>
                <c:pt idx="3">
                  <c:v>72</c:v>
                </c:pt>
                <c:pt idx="4">
                  <c:v>90</c:v>
                </c:pt>
                <c:pt idx="5">
                  <c:v>234</c:v>
                </c:pt>
                <c:pt idx="6">
                  <c:v>657</c:v>
                </c:pt>
                <c:pt idx="7">
                  <c:v>801</c:v>
                </c:pt>
                <c:pt idx="8">
                  <c:v>819</c:v>
                </c:pt>
                <c:pt idx="9">
                  <c:v>849</c:v>
                </c:pt>
                <c:pt idx="10">
                  <c:v>861</c:v>
                </c:pt>
                <c:pt idx="11">
                  <c:v>891</c:v>
                </c:pt>
                <c:pt idx="12">
                  <c:v>903</c:v>
                </c:pt>
                <c:pt idx="13">
                  <c:v>933</c:v>
                </c:pt>
                <c:pt idx="14">
                  <c:v>957</c:v>
                </c:pt>
                <c:pt idx="15">
                  <c:v>1038</c:v>
                </c:pt>
                <c:pt idx="16">
                  <c:v>1062</c:v>
                </c:pt>
                <c:pt idx="17">
                  <c:v>1092</c:v>
                </c:pt>
                <c:pt idx="18">
                  <c:v>1104</c:v>
                </c:pt>
              </c:numCache>
            </c:numRef>
          </c:cat>
          <c:val>
            <c:numRef>
              <c:f>'3000 ft'!$C$19:$U$19</c:f>
              <c:numCache>
                <c:formatCode>0.00_ </c:formatCode>
                <c:ptCount val="19"/>
                <c:pt idx="0">
                  <c:v>89.773513</c:v>
                </c:pt>
                <c:pt idx="1">
                  <c:v>89.769373</c:v>
                </c:pt>
                <c:pt idx="2">
                  <c:v>87.114095</c:v>
                </c:pt>
                <c:pt idx="3">
                  <c:v>84.295082</c:v>
                </c:pt>
                <c:pt idx="4">
                  <c:v>83.746173</c:v>
                </c:pt>
                <c:pt idx="5">
                  <c:v>78.089103</c:v>
                </c:pt>
                <c:pt idx="6">
                  <c:v>21.887154</c:v>
                </c:pt>
                <c:pt idx="7">
                  <c:v>18.716511</c:v>
                </c:pt>
                <c:pt idx="8">
                  <c:v>18.167602</c:v>
                </c:pt>
                <c:pt idx="9">
                  <c:v>18.094076</c:v>
                </c:pt>
                <c:pt idx="10">
                  <c:v>15.761416</c:v>
                </c:pt>
                <c:pt idx="11">
                  <c:v>15.757276</c:v>
                </c:pt>
                <c:pt idx="12">
                  <c:v>13.101998</c:v>
                </c:pt>
                <c:pt idx="13">
                  <c:v>10.282985</c:v>
                </c:pt>
                <c:pt idx="14">
                  <c:v>8.329803</c:v>
                </c:pt>
                <c:pt idx="15">
                  <c:v>2.515808</c:v>
                </c:pt>
                <c:pt idx="16">
                  <c:v>2.411806</c:v>
                </c:pt>
                <c:pt idx="17">
                  <c:v>2.33266</c:v>
                </c:pt>
                <c:pt idx="18">
                  <c:v>0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"45 mi - Joby S4"</c:f>
              <c:strCache>
                <c:ptCount val="1"/>
                <c:pt idx="0">
                  <c:v>45 mi - Joby S4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'3000 ft'!$C$2:$U$2</c:f>
              <c:numCache>
                <c:formatCode>General</c:formatCode>
                <c:ptCount val="19"/>
                <c:pt idx="0">
                  <c:v>0</c:v>
                </c:pt>
                <c:pt idx="1">
                  <c:v>30</c:v>
                </c:pt>
                <c:pt idx="2">
                  <c:v>42</c:v>
                </c:pt>
                <c:pt idx="3">
                  <c:v>72</c:v>
                </c:pt>
                <c:pt idx="4">
                  <c:v>90</c:v>
                </c:pt>
                <c:pt idx="5">
                  <c:v>234</c:v>
                </c:pt>
                <c:pt idx="6">
                  <c:v>657</c:v>
                </c:pt>
                <c:pt idx="7">
                  <c:v>801</c:v>
                </c:pt>
                <c:pt idx="8">
                  <c:v>819</c:v>
                </c:pt>
                <c:pt idx="9">
                  <c:v>849</c:v>
                </c:pt>
                <c:pt idx="10">
                  <c:v>861</c:v>
                </c:pt>
                <c:pt idx="11">
                  <c:v>891</c:v>
                </c:pt>
                <c:pt idx="12">
                  <c:v>903</c:v>
                </c:pt>
                <c:pt idx="13">
                  <c:v>933</c:v>
                </c:pt>
                <c:pt idx="14">
                  <c:v>957</c:v>
                </c:pt>
                <c:pt idx="15">
                  <c:v>1038</c:v>
                </c:pt>
                <c:pt idx="16">
                  <c:v>1062</c:v>
                </c:pt>
                <c:pt idx="17">
                  <c:v>1092</c:v>
                </c:pt>
                <c:pt idx="18">
                  <c:v>1104</c:v>
                </c:pt>
              </c:numCache>
            </c:numRef>
          </c:cat>
          <c:val>
            <c:numRef>
              <c:f>'3000 ft'!$C$23:$U$23</c:f>
              <c:numCache>
                <c:formatCode>0.00_ </c:formatCode>
                <c:ptCount val="19"/>
                <c:pt idx="0">
                  <c:v>62.587576</c:v>
                </c:pt>
                <c:pt idx="1">
                  <c:v>62.584441</c:v>
                </c:pt>
                <c:pt idx="2">
                  <c:v>60.935064</c:v>
                </c:pt>
                <c:pt idx="3">
                  <c:v>58.380114</c:v>
                </c:pt>
                <c:pt idx="4">
                  <c:v>57.850892</c:v>
                </c:pt>
                <c:pt idx="5">
                  <c:v>52.947633</c:v>
                </c:pt>
                <c:pt idx="6">
                  <c:v>16.972642</c:v>
                </c:pt>
                <c:pt idx="7">
                  <c:v>13.952018</c:v>
                </c:pt>
                <c:pt idx="8">
                  <c:v>13.422796</c:v>
                </c:pt>
                <c:pt idx="9">
                  <c:v>12.946634</c:v>
                </c:pt>
                <c:pt idx="10">
                  <c:v>11.497658</c:v>
                </c:pt>
                <c:pt idx="11">
                  <c:v>11.494523</c:v>
                </c:pt>
                <c:pt idx="12">
                  <c:v>9.84514600000001</c:v>
                </c:pt>
                <c:pt idx="13">
                  <c:v>7.29019600000001</c:v>
                </c:pt>
                <c:pt idx="14">
                  <c:v>5.70799400000001</c:v>
                </c:pt>
                <c:pt idx="15">
                  <c:v>1.98644300000001</c:v>
                </c:pt>
                <c:pt idx="16">
                  <c:v>1.92939400000001</c:v>
                </c:pt>
                <c:pt idx="17">
                  <c:v>1.44897600000001</c:v>
                </c:pt>
                <c:pt idx="18">
                  <c:v>6.66133814775094e-15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"45 mi - Supernal S-A2"</c:f>
              <c:strCache>
                <c:ptCount val="1"/>
                <c:pt idx="0">
                  <c:v>45 mi - Supernal S-A2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'3000 ft'!$C$2:$U$2</c:f>
              <c:numCache>
                <c:formatCode>General</c:formatCode>
                <c:ptCount val="19"/>
                <c:pt idx="0">
                  <c:v>0</c:v>
                </c:pt>
                <c:pt idx="1">
                  <c:v>30</c:v>
                </c:pt>
                <c:pt idx="2">
                  <c:v>42</c:v>
                </c:pt>
                <c:pt idx="3">
                  <c:v>72</c:v>
                </c:pt>
                <c:pt idx="4">
                  <c:v>90</c:v>
                </c:pt>
                <c:pt idx="5">
                  <c:v>234</c:v>
                </c:pt>
                <c:pt idx="6">
                  <c:v>657</c:v>
                </c:pt>
                <c:pt idx="7">
                  <c:v>801</c:v>
                </c:pt>
                <c:pt idx="8">
                  <c:v>819</c:v>
                </c:pt>
                <c:pt idx="9">
                  <c:v>849</c:v>
                </c:pt>
                <c:pt idx="10">
                  <c:v>861</c:v>
                </c:pt>
                <c:pt idx="11">
                  <c:v>891</c:v>
                </c:pt>
                <c:pt idx="12">
                  <c:v>903</c:v>
                </c:pt>
                <c:pt idx="13">
                  <c:v>933</c:v>
                </c:pt>
                <c:pt idx="14">
                  <c:v>957</c:v>
                </c:pt>
                <c:pt idx="15">
                  <c:v>1038</c:v>
                </c:pt>
                <c:pt idx="16">
                  <c:v>1062</c:v>
                </c:pt>
                <c:pt idx="17">
                  <c:v>1092</c:v>
                </c:pt>
                <c:pt idx="18">
                  <c:v>1104</c:v>
                </c:pt>
              </c:numCache>
            </c:numRef>
          </c:cat>
          <c:val>
            <c:numRef>
              <c:f>'3000 ft'!$C$27:$U$27</c:f>
              <c:numCache>
                <c:formatCode>0.00_ </c:formatCode>
                <c:ptCount val="19"/>
                <c:pt idx="0">
                  <c:v>97.543004</c:v>
                </c:pt>
                <c:pt idx="1">
                  <c:v>97.538636</c:v>
                </c:pt>
                <c:pt idx="2">
                  <c:v>95.580537</c:v>
                </c:pt>
                <c:pt idx="3">
                  <c:v>92.474229</c:v>
                </c:pt>
                <c:pt idx="4">
                  <c:v>91.825472</c:v>
                </c:pt>
                <c:pt idx="5">
                  <c:v>85.201452</c:v>
                </c:pt>
                <c:pt idx="6">
                  <c:v>22.342825</c:v>
                </c:pt>
                <c:pt idx="7">
                  <c:v>18.342279</c:v>
                </c:pt>
                <c:pt idx="8">
                  <c:v>17.693522</c:v>
                </c:pt>
                <c:pt idx="9">
                  <c:v>17.484027</c:v>
                </c:pt>
                <c:pt idx="10">
                  <c:v>15.763838</c:v>
                </c:pt>
                <c:pt idx="11">
                  <c:v>15.75947</c:v>
                </c:pt>
                <c:pt idx="12">
                  <c:v>13.801371</c:v>
                </c:pt>
                <c:pt idx="13">
                  <c:v>10.695063</c:v>
                </c:pt>
                <c:pt idx="14">
                  <c:v>8.525035</c:v>
                </c:pt>
                <c:pt idx="15">
                  <c:v>2.022418</c:v>
                </c:pt>
                <c:pt idx="16">
                  <c:v>1.935614</c:v>
                </c:pt>
                <c:pt idx="17">
                  <c:v>1.720189</c:v>
                </c:pt>
                <c:pt idx="18">
                  <c:v>4.44089209850063e-15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"60 mi - Archer Midnight"</c:f>
              <c:strCache>
                <c:ptCount val="1"/>
                <c:pt idx="0">
                  <c:v>60 mi - Archer Midnight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'3000 ft'!$C$2:$U$2</c:f>
              <c:numCache>
                <c:formatCode>General</c:formatCode>
                <c:ptCount val="19"/>
                <c:pt idx="0">
                  <c:v>0</c:v>
                </c:pt>
                <c:pt idx="1">
                  <c:v>30</c:v>
                </c:pt>
                <c:pt idx="2">
                  <c:v>42</c:v>
                </c:pt>
                <c:pt idx="3">
                  <c:v>72</c:v>
                </c:pt>
                <c:pt idx="4">
                  <c:v>90</c:v>
                </c:pt>
                <c:pt idx="5">
                  <c:v>234</c:v>
                </c:pt>
                <c:pt idx="6">
                  <c:v>657</c:v>
                </c:pt>
                <c:pt idx="7">
                  <c:v>801</c:v>
                </c:pt>
                <c:pt idx="8">
                  <c:v>819</c:v>
                </c:pt>
                <c:pt idx="9">
                  <c:v>849</c:v>
                </c:pt>
                <c:pt idx="10">
                  <c:v>861</c:v>
                </c:pt>
                <c:pt idx="11">
                  <c:v>891</c:v>
                </c:pt>
                <c:pt idx="12">
                  <c:v>903</c:v>
                </c:pt>
                <c:pt idx="13">
                  <c:v>933</c:v>
                </c:pt>
                <c:pt idx="14">
                  <c:v>957</c:v>
                </c:pt>
                <c:pt idx="15">
                  <c:v>1038</c:v>
                </c:pt>
                <c:pt idx="16">
                  <c:v>1062</c:v>
                </c:pt>
                <c:pt idx="17">
                  <c:v>1092</c:v>
                </c:pt>
                <c:pt idx="18">
                  <c:v>1104</c:v>
                </c:pt>
              </c:numCache>
            </c:numRef>
          </c:cat>
          <c:val>
            <c:numRef>
              <c:f>'3000 ft'!$C$33:$U$33</c:f>
              <c:numCache>
                <c:formatCode>0.00_ </c:formatCode>
                <c:ptCount val="19"/>
                <c:pt idx="0">
                  <c:v>115.61349</c:v>
                </c:pt>
                <c:pt idx="1">
                  <c:v>115.60935</c:v>
                </c:pt>
                <c:pt idx="2">
                  <c:v>112.954072</c:v>
                </c:pt>
                <c:pt idx="3">
                  <c:v>110.135059</c:v>
                </c:pt>
                <c:pt idx="4">
                  <c:v>109.58615</c:v>
                </c:pt>
                <c:pt idx="5">
                  <c:v>103.92908</c:v>
                </c:pt>
                <c:pt idx="6">
                  <c:v>21.887154</c:v>
                </c:pt>
                <c:pt idx="7">
                  <c:v>18.716511</c:v>
                </c:pt>
                <c:pt idx="8">
                  <c:v>18.167602</c:v>
                </c:pt>
                <c:pt idx="9">
                  <c:v>18.094076</c:v>
                </c:pt>
                <c:pt idx="10">
                  <c:v>15.761416</c:v>
                </c:pt>
                <c:pt idx="11">
                  <c:v>15.757276</c:v>
                </c:pt>
                <c:pt idx="12">
                  <c:v>13.101998</c:v>
                </c:pt>
                <c:pt idx="13">
                  <c:v>10.282985</c:v>
                </c:pt>
                <c:pt idx="14">
                  <c:v>8.329803</c:v>
                </c:pt>
                <c:pt idx="15">
                  <c:v>2.515808</c:v>
                </c:pt>
                <c:pt idx="16">
                  <c:v>2.411806</c:v>
                </c:pt>
                <c:pt idx="17">
                  <c:v>2.33266</c:v>
                </c:pt>
                <c:pt idx="18">
                  <c:v>0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"60 mi - Joby S4"</c:f>
              <c:strCache>
                <c:ptCount val="1"/>
                <c:pt idx="0">
                  <c:v>60 mi - Joby S4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'3000 ft'!$C$2:$U$2</c:f>
              <c:numCache>
                <c:formatCode>General</c:formatCode>
                <c:ptCount val="19"/>
                <c:pt idx="0">
                  <c:v>0</c:v>
                </c:pt>
                <c:pt idx="1">
                  <c:v>30</c:v>
                </c:pt>
                <c:pt idx="2">
                  <c:v>42</c:v>
                </c:pt>
                <c:pt idx="3">
                  <c:v>72</c:v>
                </c:pt>
                <c:pt idx="4">
                  <c:v>90</c:v>
                </c:pt>
                <c:pt idx="5">
                  <c:v>234</c:v>
                </c:pt>
                <c:pt idx="6">
                  <c:v>657</c:v>
                </c:pt>
                <c:pt idx="7">
                  <c:v>801</c:v>
                </c:pt>
                <c:pt idx="8">
                  <c:v>819</c:v>
                </c:pt>
                <c:pt idx="9">
                  <c:v>849</c:v>
                </c:pt>
                <c:pt idx="10">
                  <c:v>861</c:v>
                </c:pt>
                <c:pt idx="11">
                  <c:v>891</c:v>
                </c:pt>
                <c:pt idx="12">
                  <c:v>903</c:v>
                </c:pt>
                <c:pt idx="13">
                  <c:v>933</c:v>
                </c:pt>
                <c:pt idx="14">
                  <c:v>957</c:v>
                </c:pt>
                <c:pt idx="15">
                  <c:v>1038</c:v>
                </c:pt>
                <c:pt idx="16">
                  <c:v>1062</c:v>
                </c:pt>
                <c:pt idx="17">
                  <c:v>1092</c:v>
                </c:pt>
                <c:pt idx="18">
                  <c:v>1104</c:v>
                </c:pt>
              </c:numCache>
            </c:numRef>
          </c:cat>
          <c:val>
            <c:numRef>
              <c:f>'3000 ft'!$C$37:$U$37</c:f>
              <c:numCache>
                <c:formatCode>0.00_ </c:formatCode>
                <c:ptCount val="19"/>
                <c:pt idx="0">
                  <c:v>79.127801</c:v>
                </c:pt>
                <c:pt idx="1">
                  <c:v>79.124666</c:v>
                </c:pt>
                <c:pt idx="2">
                  <c:v>77.475289</c:v>
                </c:pt>
                <c:pt idx="3">
                  <c:v>74.920339</c:v>
                </c:pt>
                <c:pt idx="4">
                  <c:v>74.391117</c:v>
                </c:pt>
                <c:pt idx="5">
                  <c:v>69.487858</c:v>
                </c:pt>
                <c:pt idx="6">
                  <c:v>16.972642</c:v>
                </c:pt>
                <c:pt idx="7">
                  <c:v>13.952018</c:v>
                </c:pt>
                <c:pt idx="8">
                  <c:v>13.422796</c:v>
                </c:pt>
                <c:pt idx="9">
                  <c:v>12.946634</c:v>
                </c:pt>
                <c:pt idx="10">
                  <c:v>11.497658</c:v>
                </c:pt>
                <c:pt idx="11">
                  <c:v>11.494523</c:v>
                </c:pt>
                <c:pt idx="12">
                  <c:v>9.845146</c:v>
                </c:pt>
                <c:pt idx="13">
                  <c:v>7.290196</c:v>
                </c:pt>
                <c:pt idx="14">
                  <c:v>5.707994</c:v>
                </c:pt>
                <c:pt idx="15">
                  <c:v>1.986443</c:v>
                </c:pt>
                <c:pt idx="16">
                  <c:v>1.929394</c:v>
                </c:pt>
                <c:pt idx="17">
                  <c:v>1.448976</c:v>
                </c:pt>
                <c:pt idx="18">
                  <c:v>0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"60 mi - Supernal S-A2"</c:f>
              <c:strCache>
                <c:ptCount val="1"/>
                <c:pt idx="0">
                  <c:v>60 mi - Supernal S-A2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'3000 ft'!$C$2:$U$2</c:f>
              <c:numCache>
                <c:formatCode>General</c:formatCode>
                <c:ptCount val="19"/>
                <c:pt idx="0">
                  <c:v>0</c:v>
                </c:pt>
                <c:pt idx="1">
                  <c:v>30</c:v>
                </c:pt>
                <c:pt idx="2">
                  <c:v>42</c:v>
                </c:pt>
                <c:pt idx="3">
                  <c:v>72</c:v>
                </c:pt>
                <c:pt idx="4">
                  <c:v>90</c:v>
                </c:pt>
                <c:pt idx="5">
                  <c:v>234</c:v>
                </c:pt>
                <c:pt idx="6">
                  <c:v>657</c:v>
                </c:pt>
                <c:pt idx="7">
                  <c:v>801</c:v>
                </c:pt>
                <c:pt idx="8">
                  <c:v>819</c:v>
                </c:pt>
                <c:pt idx="9">
                  <c:v>849</c:v>
                </c:pt>
                <c:pt idx="10">
                  <c:v>861</c:v>
                </c:pt>
                <c:pt idx="11">
                  <c:v>891</c:v>
                </c:pt>
                <c:pt idx="12">
                  <c:v>903</c:v>
                </c:pt>
                <c:pt idx="13">
                  <c:v>933</c:v>
                </c:pt>
                <c:pt idx="14">
                  <c:v>957</c:v>
                </c:pt>
                <c:pt idx="15">
                  <c:v>1038</c:v>
                </c:pt>
                <c:pt idx="16">
                  <c:v>1062</c:v>
                </c:pt>
                <c:pt idx="17">
                  <c:v>1092</c:v>
                </c:pt>
                <c:pt idx="18">
                  <c:v>1104</c:v>
                </c:pt>
              </c:numCache>
            </c:numRef>
          </c:cat>
          <c:val>
            <c:numRef>
              <c:f>'3000 ft'!$C$41:$U$41</c:f>
              <c:numCache>
                <c:formatCode>0.00_ </c:formatCode>
                <c:ptCount val="19"/>
                <c:pt idx="0">
                  <c:v>126.443522</c:v>
                </c:pt>
                <c:pt idx="1">
                  <c:v>126.439154</c:v>
                </c:pt>
                <c:pt idx="2">
                  <c:v>124.481055</c:v>
                </c:pt>
                <c:pt idx="3">
                  <c:v>121.374747</c:v>
                </c:pt>
                <c:pt idx="4">
                  <c:v>120.72599</c:v>
                </c:pt>
                <c:pt idx="5">
                  <c:v>114.10197</c:v>
                </c:pt>
                <c:pt idx="6">
                  <c:v>22.342825</c:v>
                </c:pt>
                <c:pt idx="7">
                  <c:v>18.342279</c:v>
                </c:pt>
                <c:pt idx="8">
                  <c:v>17.693522</c:v>
                </c:pt>
                <c:pt idx="9">
                  <c:v>17.484027</c:v>
                </c:pt>
                <c:pt idx="10">
                  <c:v>15.763838</c:v>
                </c:pt>
                <c:pt idx="11">
                  <c:v>15.75947</c:v>
                </c:pt>
                <c:pt idx="12">
                  <c:v>13.801371</c:v>
                </c:pt>
                <c:pt idx="13">
                  <c:v>10.695063</c:v>
                </c:pt>
                <c:pt idx="14">
                  <c:v>8.525035</c:v>
                </c:pt>
                <c:pt idx="15">
                  <c:v>2.022418</c:v>
                </c:pt>
                <c:pt idx="16">
                  <c:v>1.935614</c:v>
                </c:pt>
                <c:pt idx="17">
                  <c:v>1.720189</c:v>
                </c:pt>
                <c:pt idx="18">
                  <c:v>4.44089209850063e-15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5573136"/>
        <c:axId val="896156482"/>
      </c:lineChart>
      <c:catAx>
        <c:axId val="24557313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Flight Time (s)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400903884633961"/>
              <c:y val="0.932405811376508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6156482"/>
        <c:crosses val="autoZero"/>
        <c:auto val="1"/>
        <c:lblAlgn val="ctr"/>
        <c:lblOffset val="100"/>
        <c:noMultiLvlLbl val="0"/>
      </c:catAx>
      <c:valAx>
        <c:axId val="89615648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Energy (kW)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00765886979921341"/>
              <c:y val="0.40540507264220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_);[Red]\(0.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45573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cf5641a-0fbd-48e1-8446-860b38489b4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State of Charge (SOC)</a:t>
            </a:r>
            <a:endParaRPr sz="1800"/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At 3000 ft</a:t>
            </a:r>
            <a:endParaRPr sz="1800"/>
          </a:p>
        </c:rich>
      </c:tx>
      <c:layout>
        <c:manualLayout>
          <c:xMode val="edge"/>
          <c:yMode val="edge"/>
          <c:x val="0.402066825183314"/>
          <c:y val="0.068418986119464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"30 mi - Archer Midnight"</c:f>
              <c:strCache>
                <c:ptCount val="1"/>
                <c:pt idx="0">
                  <c:v>30 mi - Archer Midnight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'3000 ft'!$C$2:$U$2</c:f>
              <c:numCache>
                <c:formatCode>General</c:formatCode>
                <c:ptCount val="19"/>
                <c:pt idx="0">
                  <c:v>0</c:v>
                </c:pt>
                <c:pt idx="1">
                  <c:v>30</c:v>
                </c:pt>
                <c:pt idx="2">
                  <c:v>42</c:v>
                </c:pt>
                <c:pt idx="3">
                  <c:v>72</c:v>
                </c:pt>
                <c:pt idx="4">
                  <c:v>90</c:v>
                </c:pt>
                <c:pt idx="5">
                  <c:v>234</c:v>
                </c:pt>
                <c:pt idx="6">
                  <c:v>657</c:v>
                </c:pt>
                <c:pt idx="7">
                  <c:v>801</c:v>
                </c:pt>
                <c:pt idx="8">
                  <c:v>819</c:v>
                </c:pt>
                <c:pt idx="9">
                  <c:v>849</c:v>
                </c:pt>
                <c:pt idx="10">
                  <c:v>861</c:v>
                </c:pt>
                <c:pt idx="11">
                  <c:v>891</c:v>
                </c:pt>
                <c:pt idx="12">
                  <c:v>903</c:v>
                </c:pt>
                <c:pt idx="13">
                  <c:v>933</c:v>
                </c:pt>
                <c:pt idx="14">
                  <c:v>957</c:v>
                </c:pt>
                <c:pt idx="15">
                  <c:v>1038</c:v>
                </c:pt>
                <c:pt idx="16">
                  <c:v>1062</c:v>
                </c:pt>
                <c:pt idx="17">
                  <c:v>1092</c:v>
                </c:pt>
                <c:pt idx="18">
                  <c:v>1104</c:v>
                </c:pt>
              </c:numCache>
            </c:numRef>
          </c:cat>
          <c:val>
            <c:numRef>
              <c:f>'3000 ft'!$C$6:$U$6</c:f>
              <c:numCache>
                <c:formatCode>0%</c:formatCode>
                <c:ptCount val="19"/>
                <c:pt idx="0">
                  <c:v>1</c:v>
                </c:pt>
                <c:pt idx="1" c:formatCode="0.00%">
                  <c:v>0.999935245253207</c:v>
                </c:pt>
                <c:pt idx="2" c:formatCode="0.00%">
                  <c:v>0.958403396327033</c:v>
                </c:pt>
                <c:pt idx="3" c:formatCode="0.00%">
                  <c:v>0.914310528447691</c:v>
                </c:pt>
                <c:pt idx="4" c:formatCode="0.00%">
                  <c:v>0.905724909291347</c:v>
                </c:pt>
                <c:pt idx="5" c:formatCode="0.00%">
                  <c:v>0.817241301697417</c:v>
                </c:pt>
                <c:pt idx="6" c:formatCode="0.00%">
                  <c:v>0.342342298377767</c:v>
                </c:pt>
                <c:pt idx="7" c:formatCode="0.00%">
                  <c:v>0.292749500156702</c:v>
                </c:pt>
                <c:pt idx="8" c:formatCode="0.00%">
                  <c:v>0.284163881000358</c:v>
                </c:pt>
                <c:pt idx="9" c:formatCode="0.00%">
                  <c:v>0.283013842953816</c:v>
                </c:pt>
                <c:pt idx="10" c:formatCode="0.00%">
                  <c:v>0.246528140622034</c:v>
                </c:pt>
                <c:pt idx="11" c:formatCode="0.00%">
                  <c:v>0.246463385875241</c:v>
                </c:pt>
                <c:pt idx="12" c:formatCode="0.00%">
                  <c:v>0.204931536949066</c:v>
                </c:pt>
                <c:pt idx="13" c:formatCode="0.00%">
                  <c:v>0.160838669069725</c:v>
                </c:pt>
                <c:pt idx="14" c:formatCode="0.00%">
                  <c:v>0.130288474419928</c:v>
                </c:pt>
                <c:pt idx="15" c:formatCode="0.00%">
                  <c:v>0.0393503647389319</c:v>
                </c:pt>
                <c:pt idx="16" c:formatCode="0.00%">
                  <c:v>0.0377236441650334</c:v>
                </c:pt>
                <c:pt idx="17" c:formatCode="0.00%">
                  <c:v>0.0364857023317824</c:v>
                </c:pt>
                <c:pt idx="18" c:formatCode="0.00%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"30 mi - Joby S4"</c:f>
              <c:strCache>
                <c:ptCount val="1"/>
                <c:pt idx="0">
                  <c:v>30 mi - Joby S4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'3000 ft'!$C$2:$U$2</c:f>
              <c:numCache>
                <c:formatCode>General</c:formatCode>
                <c:ptCount val="19"/>
                <c:pt idx="0">
                  <c:v>0</c:v>
                </c:pt>
                <c:pt idx="1">
                  <c:v>30</c:v>
                </c:pt>
                <c:pt idx="2">
                  <c:v>42</c:v>
                </c:pt>
                <c:pt idx="3">
                  <c:v>72</c:v>
                </c:pt>
                <c:pt idx="4">
                  <c:v>90</c:v>
                </c:pt>
                <c:pt idx="5">
                  <c:v>234</c:v>
                </c:pt>
                <c:pt idx="6">
                  <c:v>657</c:v>
                </c:pt>
                <c:pt idx="7">
                  <c:v>801</c:v>
                </c:pt>
                <c:pt idx="8">
                  <c:v>819</c:v>
                </c:pt>
                <c:pt idx="9">
                  <c:v>849</c:v>
                </c:pt>
                <c:pt idx="10">
                  <c:v>861</c:v>
                </c:pt>
                <c:pt idx="11">
                  <c:v>891</c:v>
                </c:pt>
                <c:pt idx="12">
                  <c:v>903</c:v>
                </c:pt>
                <c:pt idx="13">
                  <c:v>933</c:v>
                </c:pt>
                <c:pt idx="14">
                  <c:v>957</c:v>
                </c:pt>
                <c:pt idx="15">
                  <c:v>1038</c:v>
                </c:pt>
                <c:pt idx="16">
                  <c:v>1062</c:v>
                </c:pt>
                <c:pt idx="17">
                  <c:v>1092</c:v>
                </c:pt>
                <c:pt idx="18">
                  <c:v>1104</c:v>
                </c:pt>
              </c:numCache>
            </c:numRef>
          </c:cat>
          <c:val>
            <c:numRef>
              <c:f>'3000 ft'!$C$10:$U$10</c:f>
              <c:numCache>
                <c:formatCode>0%</c:formatCode>
                <c:ptCount val="19"/>
                <c:pt idx="0">
                  <c:v>1</c:v>
                </c:pt>
                <c:pt idx="1" c:formatCode="0.00%">
                  <c:v>0.999931917906242</c:v>
                </c:pt>
                <c:pt idx="2" c:formatCode="0.00%">
                  <c:v>0.96411276653271</c:v>
                </c:pt>
                <c:pt idx="3" c:formatCode="0.00%">
                  <c:v>0.908627488878296</c:v>
                </c:pt>
                <c:pt idx="4" c:formatCode="0.00%">
                  <c:v>0.897134493081578</c:v>
                </c:pt>
                <c:pt idx="5" c:formatCode="0.00%">
                  <c:v>0.790651514147937</c:v>
                </c:pt>
                <c:pt idx="6" c:formatCode="0.00%">
                  <c:v>0.36859106984441</c:v>
                </c:pt>
                <c:pt idx="7" c:formatCode="0.00%">
                  <c:v>0.302992854094753</c:v>
                </c:pt>
                <c:pt idx="8" c:formatCode="0.00%">
                  <c:v>0.291499858298035</c:v>
                </c:pt>
                <c:pt idx="9" c:formatCode="0.00%">
                  <c:v>0.281159154652765</c:v>
                </c:pt>
                <c:pt idx="10" c:formatCode="0.00%">
                  <c:v>0.249692066970195</c:v>
                </c:pt>
                <c:pt idx="11" c:formatCode="0.00%">
                  <c:v>0.249623984876437</c:v>
                </c:pt>
                <c:pt idx="12" c:formatCode="0.00%">
                  <c:v>0.213804833502905</c:v>
                </c:pt>
                <c:pt idx="13" c:formatCode="0.00%">
                  <c:v>0.158319555848491</c:v>
                </c:pt>
                <c:pt idx="14" c:formatCode="0.00%">
                  <c:v>0.12395922892414</c:v>
                </c:pt>
                <c:pt idx="15" c:formatCode="0.00%">
                  <c:v>0.0431391383000326</c:v>
                </c:pt>
                <c:pt idx="16" c:formatCode="0.00%">
                  <c:v>0.0419002179278505</c:v>
                </c:pt>
                <c:pt idx="17" c:formatCode="0.00%">
                  <c:v>0.0314670876825704</c:v>
                </c:pt>
                <c:pt idx="18" c:formatCode="0.00%">
                  <c:v>1.44662790535198e-16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"30 mi - Supernal S-A2"</c:f>
              <c:strCache>
                <c:ptCount val="1"/>
                <c:pt idx="0">
                  <c:v>30 mi - Supernal S-A2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'3000 ft'!$C$2:$U$2</c:f>
              <c:numCache>
                <c:formatCode>General</c:formatCode>
                <c:ptCount val="19"/>
                <c:pt idx="0">
                  <c:v>0</c:v>
                </c:pt>
                <c:pt idx="1">
                  <c:v>30</c:v>
                </c:pt>
                <c:pt idx="2">
                  <c:v>42</c:v>
                </c:pt>
                <c:pt idx="3">
                  <c:v>72</c:v>
                </c:pt>
                <c:pt idx="4">
                  <c:v>90</c:v>
                </c:pt>
                <c:pt idx="5">
                  <c:v>234</c:v>
                </c:pt>
                <c:pt idx="6">
                  <c:v>657</c:v>
                </c:pt>
                <c:pt idx="7">
                  <c:v>801</c:v>
                </c:pt>
                <c:pt idx="8">
                  <c:v>819</c:v>
                </c:pt>
                <c:pt idx="9">
                  <c:v>849</c:v>
                </c:pt>
                <c:pt idx="10">
                  <c:v>861</c:v>
                </c:pt>
                <c:pt idx="11">
                  <c:v>891</c:v>
                </c:pt>
                <c:pt idx="12">
                  <c:v>903</c:v>
                </c:pt>
                <c:pt idx="13">
                  <c:v>933</c:v>
                </c:pt>
                <c:pt idx="14">
                  <c:v>957</c:v>
                </c:pt>
                <c:pt idx="15">
                  <c:v>1038</c:v>
                </c:pt>
                <c:pt idx="16">
                  <c:v>1062</c:v>
                </c:pt>
                <c:pt idx="17">
                  <c:v>1092</c:v>
                </c:pt>
                <c:pt idx="18">
                  <c:v>1104</c:v>
                </c:pt>
              </c:numCache>
            </c:numRef>
          </c:cat>
          <c:val>
            <c:numRef>
              <c:f>'3000 ft'!$C$14:$U$14</c:f>
              <c:numCache>
                <c:formatCode>0%</c:formatCode>
                <c:ptCount val="19"/>
                <c:pt idx="0">
                  <c:v>1</c:v>
                </c:pt>
                <c:pt idx="1" c:formatCode="0.00%">
                  <c:v>0.999936365941059</c:v>
                </c:pt>
                <c:pt idx="2" c:formatCode="0.00%">
                  <c:v>0.971410315762748</c:v>
                </c:pt>
                <c:pt idx="3" c:formatCode="0.00%">
                  <c:v>0.926156884819119</c:v>
                </c:pt>
                <c:pt idx="4" c:formatCode="0.00%">
                  <c:v>0.916705639128513</c:v>
                </c:pt>
                <c:pt idx="5" c:formatCode="0.00%">
                  <c:v>0.820205346292382</c:v>
                </c:pt>
                <c:pt idx="6" c:formatCode="0.00%">
                  <c:v>0.325495568444301</c:v>
                </c:pt>
                <c:pt idx="7" c:formatCode="0.00%">
                  <c:v>0.267214666438508</c:v>
                </c:pt>
                <c:pt idx="8" c:formatCode="0.00%">
                  <c:v>0.257763420747902</c:v>
                </c:pt>
                <c:pt idx="9" c:formatCode="0.00%">
                  <c:v>0.254711447950763</c:v>
                </c:pt>
                <c:pt idx="10" c:formatCode="0.00%">
                  <c:v>0.229651327022159</c:v>
                </c:pt>
                <c:pt idx="11" c:formatCode="0.00%">
                  <c:v>0.229587692963218</c:v>
                </c:pt>
                <c:pt idx="12" c:formatCode="0.00%">
                  <c:v>0.201061642784907</c:v>
                </c:pt>
                <c:pt idx="13" c:formatCode="0.00%">
                  <c:v>0.155808211841278</c:v>
                </c:pt>
                <c:pt idx="14" c:formatCode="0.00%">
                  <c:v>0.124194729777124</c:v>
                </c:pt>
                <c:pt idx="15" c:formatCode="0.00%">
                  <c:v>0.0294630646098683</c:v>
                </c:pt>
                <c:pt idx="16" c:formatCode="0.00%">
                  <c:v>0.0281984833707798</c:v>
                </c:pt>
                <c:pt idx="17" c:formatCode="0.00%">
                  <c:v>0.0250601209286037</c:v>
                </c:pt>
                <c:pt idx="18" c:formatCode="0.00%">
                  <c:v>-2.45844679551705e-16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"45 mi - Archer Midnight"</c:f>
              <c:strCache>
                <c:ptCount val="1"/>
                <c:pt idx="0">
                  <c:v>45 mi - Archer Midnight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'3000 ft'!$C$2:$U$2</c:f>
              <c:numCache>
                <c:formatCode>General</c:formatCode>
                <c:ptCount val="19"/>
                <c:pt idx="0">
                  <c:v>0</c:v>
                </c:pt>
                <c:pt idx="1">
                  <c:v>30</c:v>
                </c:pt>
                <c:pt idx="2">
                  <c:v>42</c:v>
                </c:pt>
                <c:pt idx="3">
                  <c:v>72</c:v>
                </c:pt>
                <c:pt idx="4">
                  <c:v>90</c:v>
                </c:pt>
                <c:pt idx="5">
                  <c:v>234</c:v>
                </c:pt>
                <c:pt idx="6">
                  <c:v>657</c:v>
                </c:pt>
                <c:pt idx="7">
                  <c:v>801</c:v>
                </c:pt>
                <c:pt idx="8">
                  <c:v>819</c:v>
                </c:pt>
                <c:pt idx="9">
                  <c:v>849</c:v>
                </c:pt>
                <c:pt idx="10">
                  <c:v>861</c:v>
                </c:pt>
                <c:pt idx="11">
                  <c:v>891</c:v>
                </c:pt>
                <c:pt idx="12">
                  <c:v>903</c:v>
                </c:pt>
                <c:pt idx="13">
                  <c:v>933</c:v>
                </c:pt>
                <c:pt idx="14">
                  <c:v>957</c:v>
                </c:pt>
                <c:pt idx="15">
                  <c:v>1038</c:v>
                </c:pt>
                <c:pt idx="16">
                  <c:v>1062</c:v>
                </c:pt>
                <c:pt idx="17">
                  <c:v>1092</c:v>
                </c:pt>
                <c:pt idx="18">
                  <c:v>1104</c:v>
                </c:pt>
              </c:numCache>
            </c:numRef>
          </c:cat>
          <c:val>
            <c:numRef>
              <c:f>'3000 ft'!$C$20:$U$20</c:f>
              <c:numCache>
                <c:formatCode>0%</c:formatCode>
                <c:ptCount val="19"/>
                <c:pt idx="0">
                  <c:v>1</c:v>
                </c:pt>
                <c:pt idx="1" c:formatCode="0.00%">
                  <c:v>0.99995388394793</c:v>
                </c:pt>
                <c:pt idx="2" c:formatCode="0.00%">
                  <c:v>0.970376362569213</c:v>
                </c:pt>
                <c:pt idx="3" c:formatCode="0.00%">
                  <c:v>0.938974973609421</c:v>
                </c:pt>
                <c:pt idx="4" c:formatCode="0.00%">
                  <c:v>0.932860597757826</c:v>
                </c:pt>
                <c:pt idx="5" c:formatCode="0.00%">
                  <c:v>0.86984568599872</c:v>
                </c:pt>
                <c:pt idx="6" c:formatCode="0.00%">
                  <c:v>0.243804138532487</c:v>
                </c:pt>
                <c:pt idx="7" c:formatCode="0.00%">
                  <c:v>0.208485892715371</c:v>
                </c:pt>
                <c:pt idx="8" c:formatCode="0.00%">
                  <c:v>0.202371516863777</c:v>
                </c:pt>
                <c:pt idx="9" c:formatCode="0.00%">
                  <c:v>0.201552500234674</c:v>
                </c:pt>
                <c:pt idx="10" c:formatCode="0.00%">
                  <c:v>0.175568666896215</c:v>
                </c:pt>
                <c:pt idx="11" c:formatCode="0.00%">
                  <c:v>0.175522550844145</c:v>
                </c:pt>
                <c:pt idx="12" c:formatCode="0.00%">
                  <c:v>0.145945029465428</c:v>
                </c:pt>
                <c:pt idx="13" c:formatCode="0.00%">
                  <c:v>0.114543640505636</c:v>
                </c:pt>
                <c:pt idx="14" c:formatCode="0.00%">
                  <c:v>0.0927868668790983</c:v>
                </c:pt>
                <c:pt idx="15" c:formatCode="0.00%">
                  <c:v>0.0280239451028278</c:v>
                </c:pt>
                <c:pt idx="16" c:formatCode="0.00%">
                  <c:v>0.0268654519512899</c:v>
                </c:pt>
                <c:pt idx="17" c:formatCode="0.00%">
                  <c:v>0.0259838333384592</c:v>
                </c:pt>
                <c:pt idx="18" c:formatCode="0.00%">
                  <c:v>0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"45 mi - Joby S4"</c:f>
              <c:strCache>
                <c:ptCount val="1"/>
                <c:pt idx="0">
                  <c:v>45 mi - Joby S4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'3000 ft'!$C$2:$U$2</c:f>
              <c:numCache>
                <c:formatCode>General</c:formatCode>
                <c:ptCount val="19"/>
                <c:pt idx="0">
                  <c:v>0</c:v>
                </c:pt>
                <c:pt idx="1">
                  <c:v>30</c:v>
                </c:pt>
                <c:pt idx="2">
                  <c:v>42</c:v>
                </c:pt>
                <c:pt idx="3">
                  <c:v>72</c:v>
                </c:pt>
                <c:pt idx="4">
                  <c:v>90</c:v>
                </c:pt>
                <c:pt idx="5">
                  <c:v>234</c:v>
                </c:pt>
                <c:pt idx="6">
                  <c:v>657</c:v>
                </c:pt>
                <c:pt idx="7">
                  <c:v>801</c:v>
                </c:pt>
                <c:pt idx="8">
                  <c:v>819</c:v>
                </c:pt>
                <c:pt idx="9">
                  <c:v>849</c:v>
                </c:pt>
                <c:pt idx="10">
                  <c:v>861</c:v>
                </c:pt>
                <c:pt idx="11">
                  <c:v>891</c:v>
                </c:pt>
                <c:pt idx="12">
                  <c:v>903</c:v>
                </c:pt>
                <c:pt idx="13">
                  <c:v>933</c:v>
                </c:pt>
                <c:pt idx="14">
                  <c:v>957</c:v>
                </c:pt>
                <c:pt idx="15">
                  <c:v>1038</c:v>
                </c:pt>
                <c:pt idx="16">
                  <c:v>1062</c:v>
                </c:pt>
                <c:pt idx="17">
                  <c:v>1092</c:v>
                </c:pt>
                <c:pt idx="18">
                  <c:v>1104</c:v>
                </c:pt>
              </c:numCache>
            </c:numRef>
          </c:cat>
          <c:val>
            <c:numRef>
              <c:f>'3000 ft'!$C$24:$U$24</c:f>
              <c:numCache>
                <c:formatCode>0%</c:formatCode>
                <c:ptCount val="19"/>
                <c:pt idx="0">
                  <c:v>1</c:v>
                </c:pt>
                <c:pt idx="1" c:formatCode="0.00%">
                  <c:v>0.999949910186648</c:v>
                </c:pt>
                <c:pt idx="2" c:formatCode="0.00%">
                  <c:v>0.973596804579874</c:v>
                </c:pt>
                <c:pt idx="3" c:formatCode="0.00%">
                  <c:v>0.932774805018811</c:v>
                </c:pt>
                <c:pt idx="4" c:formatCode="0.00%">
                  <c:v>0.924319101286172</c:v>
                </c:pt>
                <c:pt idx="5" c:formatCode="0.00%">
                  <c:v>0.845976731867679</c:v>
                </c:pt>
                <c:pt idx="6" c:formatCode="0.00%">
                  <c:v>0.271182287040482</c:v>
                </c:pt>
                <c:pt idx="7" c:formatCode="0.00%">
                  <c:v>0.222919929028726</c:v>
                </c:pt>
                <c:pt idx="8" c:formatCode="0.00%">
                  <c:v>0.214464225296088</c:v>
                </c:pt>
                <c:pt idx="9" c:formatCode="0.00%">
                  <c:v>0.206856293651635</c:v>
                </c:pt>
                <c:pt idx="10" c:formatCode="0.00%">
                  <c:v>0.183705117450147</c:v>
                </c:pt>
                <c:pt idx="11" c:formatCode="0.00%">
                  <c:v>0.183655027636795</c:v>
                </c:pt>
                <c:pt idx="12" c:formatCode="0.00%">
                  <c:v>0.157301922030021</c:v>
                </c:pt>
                <c:pt idx="13" c:formatCode="0.00%">
                  <c:v>0.116479922468958</c:v>
                </c:pt>
                <c:pt idx="14" c:formatCode="0.00%">
                  <c:v>0.0912001129425432</c:v>
                </c:pt>
                <c:pt idx="15" c:formatCode="0.00%">
                  <c:v>0.0317386153443617</c:v>
                </c:pt>
                <c:pt idx="16" c:formatCode="0.00%">
                  <c:v>0.0308271085622489</c:v>
                </c:pt>
                <c:pt idx="17" c:formatCode="0.00%">
                  <c:v>0.0231511762014878</c:v>
                </c:pt>
                <c:pt idx="18" c:formatCode="0.00%">
                  <c:v>1.06432275756309e-16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"45 mi - Supernal S-A2"</c:f>
              <c:strCache>
                <c:ptCount val="1"/>
                <c:pt idx="0">
                  <c:v>45 mi - Supernal S-A2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'3000 ft'!$C$2:$U$2</c:f>
              <c:numCache>
                <c:formatCode>General</c:formatCode>
                <c:ptCount val="19"/>
                <c:pt idx="0">
                  <c:v>0</c:v>
                </c:pt>
                <c:pt idx="1">
                  <c:v>30</c:v>
                </c:pt>
                <c:pt idx="2">
                  <c:v>42</c:v>
                </c:pt>
                <c:pt idx="3">
                  <c:v>72</c:v>
                </c:pt>
                <c:pt idx="4">
                  <c:v>90</c:v>
                </c:pt>
                <c:pt idx="5">
                  <c:v>234</c:v>
                </c:pt>
                <c:pt idx="6">
                  <c:v>657</c:v>
                </c:pt>
                <c:pt idx="7">
                  <c:v>801</c:v>
                </c:pt>
                <c:pt idx="8">
                  <c:v>819</c:v>
                </c:pt>
                <c:pt idx="9">
                  <c:v>849</c:v>
                </c:pt>
                <c:pt idx="10">
                  <c:v>861</c:v>
                </c:pt>
                <c:pt idx="11">
                  <c:v>891</c:v>
                </c:pt>
                <c:pt idx="12">
                  <c:v>903</c:v>
                </c:pt>
                <c:pt idx="13">
                  <c:v>933</c:v>
                </c:pt>
                <c:pt idx="14">
                  <c:v>957</c:v>
                </c:pt>
                <c:pt idx="15">
                  <c:v>1038</c:v>
                </c:pt>
                <c:pt idx="16">
                  <c:v>1062</c:v>
                </c:pt>
                <c:pt idx="17">
                  <c:v>1092</c:v>
                </c:pt>
                <c:pt idx="18">
                  <c:v>1104</c:v>
                </c:pt>
              </c:numCache>
            </c:numRef>
          </c:cat>
          <c:val>
            <c:numRef>
              <c:f>'3000 ft'!$C$28:$U$28</c:f>
              <c:numCache>
                <c:formatCode>0%</c:formatCode>
                <c:ptCount val="19"/>
                <c:pt idx="0">
                  <c:v>1</c:v>
                </c:pt>
                <c:pt idx="1" c:formatCode="0.00%">
                  <c:v>0.999955219751075</c:v>
                </c:pt>
                <c:pt idx="2" c:formatCode="0.00%">
                  <c:v>0.979881007150446</c:v>
                </c:pt>
                <c:pt idx="3" c:formatCode="0.00%">
                  <c:v>0.948035483918457</c:v>
                </c:pt>
                <c:pt idx="4" c:formatCode="0.00%">
                  <c:v>0.941384499497268</c:v>
                </c:pt>
                <c:pt idx="5" c:formatCode="0.00%">
                  <c:v>0.873475785100898</c:v>
                </c:pt>
                <c:pt idx="6" c:formatCode="0.00%">
                  <c:v>0.229056150454419</c:v>
                </c:pt>
                <c:pt idx="7" c:formatCode="0.00%">
                  <c:v>0.188042998962796</c:v>
                </c:pt>
                <c:pt idx="8" c:formatCode="0.00%">
                  <c:v>0.181392014541607</c:v>
                </c:pt>
                <c:pt idx="9" c:formatCode="0.00%">
                  <c:v>0.179244295162368</c:v>
                </c:pt>
                <c:pt idx="10" c:formatCode="0.00%">
                  <c:v>0.161609109352425</c:v>
                </c:pt>
                <c:pt idx="11" c:formatCode="0.00%">
                  <c:v>0.1615643291035</c:v>
                </c:pt>
                <c:pt idx="12" c:formatCode="0.00%">
                  <c:v>0.141490116502871</c:v>
                </c:pt>
                <c:pt idx="13" c:formatCode="0.00%">
                  <c:v>0.109644593270882</c:v>
                </c:pt>
                <c:pt idx="14" c:formatCode="0.00%">
                  <c:v>0.0873977081944288</c:v>
                </c:pt>
                <c:pt idx="15" c:formatCode="0.00%">
                  <c:v>0.0207336038164255</c:v>
                </c:pt>
                <c:pt idx="16" c:formatCode="0.00%">
                  <c:v>0.0198436988879285</c:v>
                </c:pt>
                <c:pt idx="17" c:formatCode="0.00%">
                  <c:v>0.0176351858099429</c:v>
                </c:pt>
                <c:pt idx="18" c:formatCode="0.00%">
                  <c:v>4.5527530590514e-17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"60 mi - Archer Midnight"</c:f>
              <c:strCache>
                <c:ptCount val="1"/>
                <c:pt idx="0">
                  <c:v>60 mi - Archer Midnight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'3000 ft'!$C$2:$U$2</c:f>
              <c:numCache>
                <c:formatCode>General</c:formatCode>
                <c:ptCount val="19"/>
                <c:pt idx="0">
                  <c:v>0</c:v>
                </c:pt>
                <c:pt idx="1">
                  <c:v>30</c:v>
                </c:pt>
                <c:pt idx="2">
                  <c:v>42</c:v>
                </c:pt>
                <c:pt idx="3">
                  <c:v>72</c:v>
                </c:pt>
                <c:pt idx="4">
                  <c:v>90</c:v>
                </c:pt>
                <c:pt idx="5">
                  <c:v>234</c:v>
                </c:pt>
                <c:pt idx="6">
                  <c:v>657</c:v>
                </c:pt>
                <c:pt idx="7">
                  <c:v>801</c:v>
                </c:pt>
                <c:pt idx="8">
                  <c:v>819</c:v>
                </c:pt>
                <c:pt idx="9">
                  <c:v>849</c:v>
                </c:pt>
                <c:pt idx="10">
                  <c:v>861</c:v>
                </c:pt>
                <c:pt idx="11">
                  <c:v>891</c:v>
                </c:pt>
                <c:pt idx="12">
                  <c:v>903</c:v>
                </c:pt>
                <c:pt idx="13">
                  <c:v>933</c:v>
                </c:pt>
                <c:pt idx="14">
                  <c:v>957</c:v>
                </c:pt>
                <c:pt idx="15">
                  <c:v>1038</c:v>
                </c:pt>
                <c:pt idx="16">
                  <c:v>1062</c:v>
                </c:pt>
                <c:pt idx="17">
                  <c:v>1092</c:v>
                </c:pt>
                <c:pt idx="18">
                  <c:v>1104</c:v>
                </c:pt>
              </c:numCache>
            </c:numRef>
          </c:cat>
          <c:val>
            <c:numRef>
              <c:f>'3000 ft'!$C$34:$U$34</c:f>
              <c:numCache>
                <c:formatCode>0%</c:formatCode>
                <c:ptCount val="19"/>
                <c:pt idx="0">
                  <c:v>1</c:v>
                </c:pt>
                <c:pt idx="1" c:formatCode="0.00%">
                  <c:v>0.999964191029957</c:v>
                </c:pt>
                <c:pt idx="2" c:formatCode="0.00%">
                  <c:v>0.976997338286389</c:v>
                </c:pt>
                <c:pt idx="3" c:formatCode="0.00%">
                  <c:v>0.952614258076631</c:v>
                </c:pt>
                <c:pt idx="4" c:formatCode="0.00%">
                  <c:v>0.947866464371934</c:v>
                </c:pt>
                <c:pt idx="5" c:formatCode="0.00%">
                  <c:v>0.898935582690221</c:v>
                </c:pt>
                <c:pt idx="6" c:formatCode="0.00%">
                  <c:v>0.189313150221484</c:v>
                </c:pt>
                <c:pt idx="7" c:formatCode="0.00%">
                  <c:v>0.161888642925665</c:v>
                </c:pt>
                <c:pt idx="8" c:formatCode="0.00%">
                  <c:v>0.157140849220969</c:v>
                </c:pt>
                <c:pt idx="9" c:formatCode="0.00%">
                  <c:v>0.156504885372806</c:v>
                </c:pt>
                <c:pt idx="10" c:formatCode="0.00%">
                  <c:v>0.136328520140686</c:v>
                </c:pt>
                <c:pt idx="11" c:formatCode="0.00%">
                  <c:v>0.136292711170643</c:v>
                </c:pt>
                <c:pt idx="12" c:formatCode="0.00%">
                  <c:v>0.113325858427075</c:v>
                </c:pt>
                <c:pt idx="13" c:formatCode="0.00%">
                  <c:v>0.088942778217317</c:v>
                </c:pt>
                <c:pt idx="14" c:formatCode="0.00%">
                  <c:v>0.0720487116166115</c:v>
                </c:pt>
                <c:pt idx="15" c:formatCode="0.00%">
                  <c:v>0.0217605056295766</c:v>
                </c:pt>
                <c:pt idx="16" c:formatCode="0.00%">
                  <c:v>0.0208609393246411</c:v>
                </c:pt>
                <c:pt idx="17" c:formatCode="0.00%">
                  <c:v>0.0201763652321195</c:v>
                </c:pt>
                <c:pt idx="18" c:formatCode="0.00%">
                  <c:v>0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"60 mi - Joby S4"</c:f>
              <c:strCache>
                <c:ptCount val="1"/>
                <c:pt idx="0">
                  <c:v>60 mi - Joby S4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'3000 ft'!$C$2:$U$2</c:f>
              <c:numCache>
                <c:formatCode>General</c:formatCode>
                <c:ptCount val="19"/>
                <c:pt idx="0">
                  <c:v>0</c:v>
                </c:pt>
                <c:pt idx="1">
                  <c:v>30</c:v>
                </c:pt>
                <c:pt idx="2">
                  <c:v>42</c:v>
                </c:pt>
                <c:pt idx="3">
                  <c:v>72</c:v>
                </c:pt>
                <c:pt idx="4">
                  <c:v>90</c:v>
                </c:pt>
                <c:pt idx="5">
                  <c:v>234</c:v>
                </c:pt>
                <c:pt idx="6">
                  <c:v>657</c:v>
                </c:pt>
                <c:pt idx="7">
                  <c:v>801</c:v>
                </c:pt>
                <c:pt idx="8">
                  <c:v>819</c:v>
                </c:pt>
                <c:pt idx="9">
                  <c:v>849</c:v>
                </c:pt>
                <c:pt idx="10">
                  <c:v>861</c:v>
                </c:pt>
                <c:pt idx="11">
                  <c:v>891</c:v>
                </c:pt>
                <c:pt idx="12">
                  <c:v>903</c:v>
                </c:pt>
                <c:pt idx="13">
                  <c:v>933</c:v>
                </c:pt>
                <c:pt idx="14">
                  <c:v>957</c:v>
                </c:pt>
                <c:pt idx="15">
                  <c:v>1038</c:v>
                </c:pt>
                <c:pt idx="16">
                  <c:v>1062</c:v>
                </c:pt>
                <c:pt idx="17">
                  <c:v>1092</c:v>
                </c:pt>
                <c:pt idx="18">
                  <c:v>1104</c:v>
                </c:pt>
              </c:numCache>
            </c:numRef>
          </c:cat>
          <c:val>
            <c:numRef>
              <c:f>'3000 ft'!$C$38:$U$38</c:f>
              <c:numCache>
                <c:formatCode>0%</c:formatCode>
                <c:ptCount val="19"/>
                <c:pt idx="0">
                  <c:v>1</c:v>
                </c:pt>
                <c:pt idx="1" c:formatCode="0.00%">
                  <c:v>0.999960380549435</c:v>
                </c:pt>
                <c:pt idx="2" c:formatCode="0.00%">
                  <c:v>0.979115911486028</c:v>
                </c:pt>
                <c:pt idx="3" c:formatCode="0.00%">
                  <c:v>0.946827007109676</c:v>
                </c:pt>
                <c:pt idx="4" c:formatCode="0.00%">
                  <c:v>0.94013881416975</c:v>
                </c:pt>
                <c:pt idx="5" c:formatCode="0.00%">
                  <c:v>0.878172489590605</c:v>
                </c:pt>
                <c:pt idx="6" c:formatCode="0.00%">
                  <c:v>0.21449657118615</c:v>
                </c:pt>
                <c:pt idx="7" c:formatCode="0.00%">
                  <c:v>0.17632257972138</c:v>
                </c:pt>
                <c:pt idx="8" c:formatCode="0.00%">
                  <c:v>0.169634386781455</c:v>
                </c:pt>
                <c:pt idx="9" c:formatCode="0.00%">
                  <c:v>0.163616754622057</c:v>
                </c:pt>
                <c:pt idx="10" c:formatCode="0.00%">
                  <c:v>0.145304909964577</c:v>
                </c:pt>
                <c:pt idx="11" c:formatCode="0.00%">
                  <c:v>0.145265290514013</c:v>
                </c:pt>
                <c:pt idx="12" c:formatCode="0.00%">
                  <c:v>0.124420821450605</c:v>
                </c:pt>
                <c:pt idx="13" c:formatCode="0.00%">
                  <c:v>0.0921319170742531</c:v>
                </c:pt>
                <c:pt idx="14" c:formatCode="0.00%">
                  <c:v>0.0721363911022878</c:v>
                </c:pt>
                <c:pt idx="15" c:formatCode="0.00%">
                  <c:v>0.0251042361205008</c:v>
                </c:pt>
                <c:pt idx="16" c:formatCode="0.00%">
                  <c:v>0.0243832632224924</c:v>
                </c:pt>
                <c:pt idx="17" c:formatCode="0.00%">
                  <c:v>0.0183118446574801</c:v>
                </c:pt>
                <c:pt idx="18" c:formatCode="0.00%">
                  <c:v>0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"60 mi - Supernal S-A2"</c:f>
              <c:strCache>
                <c:ptCount val="1"/>
                <c:pt idx="0">
                  <c:v>60 mi - Supernal S-A2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'3000 ft'!$C$2:$U$2</c:f>
              <c:numCache>
                <c:formatCode>General</c:formatCode>
                <c:ptCount val="19"/>
                <c:pt idx="0">
                  <c:v>0</c:v>
                </c:pt>
                <c:pt idx="1">
                  <c:v>30</c:v>
                </c:pt>
                <c:pt idx="2">
                  <c:v>42</c:v>
                </c:pt>
                <c:pt idx="3">
                  <c:v>72</c:v>
                </c:pt>
                <c:pt idx="4">
                  <c:v>90</c:v>
                </c:pt>
                <c:pt idx="5">
                  <c:v>234</c:v>
                </c:pt>
                <c:pt idx="6">
                  <c:v>657</c:v>
                </c:pt>
                <c:pt idx="7">
                  <c:v>801</c:v>
                </c:pt>
                <c:pt idx="8">
                  <c:v>819</c:v>
                </c:pt>
                <c:pt idx="9">
                  <c:v>849</c:v>
                </c:pt>
                <c:pt idx="10">
                  <c:v>861</c:v>
                </c:pt>
                <c:pt idx="11">
                  <c:v>891</c:v>
                </c:pt>
                <c:pt idx="12">
                  <c:v>903</c:v>
                </c:pt>
                <c:pt idx="13">
                  <c:v>933</c:v>
                </c:pt>
                <c:pt idx="14">
                  <c:v>957</c:v>
                </c:pt>
                <c:pt idx="15">
                  <c:v>1038</c:v>
                </c:pt>
                <c:pt idx="16">
                  <c:v>1062</c:v>
                </c:pt>
                <c:pt idx="17">
                  <c:v>1092</c:v>
                </c:pt>
                <c:pt idx="18">
                  <c:v>1104</c:v>
                </c:pt>
              </c:numCache>
            </c:numRef>
          </c:cat>
          <c:val>
            <c:numRef>
              <c:f>'3000 ft'!$C$42:$U$42</c:f>
              <c:numCache>
                <c:formatCode>0%</c:formatCode>
                <c:ptCount val="19"/>
                <c:pt idx="0">
                  <c:v>1</c:v>
                </c:pt>
                <c:pt idx="1" c:formatCode="0.00%">
                  <c:v>0.999965454932519</c:v>
                </c:pt>
                <c:pt idx="2" c:formatCode="0.00%">
                  <c:v>0.984479497494541</c:v>
                </c:pt>
                <c:pt idx="3" c:formatCode="0.00%">
                  <c:v>0.959912734793958</c:v>
                </c:pt>
                <c:pt idx="4" c:formatCode="0.00%">
                  <c:v>0.954781930228106</c:v>
                </c:pt>
                <c:pt idx="5" c:formatCode="0.00%">
                  <c:v>0.902394746644276</c:v>
                </c:pt>
                <c:pt idx="6" c:formatCode="0.00%">
                  <c:v>0.176702014042285</c:v>
                </c:pt>
                <c:pt idx="7" c:formatCode="0.00%">
                  <c:v>0.145063018728631</c:v>
                </c:pt>
                <c:pt idx="8" c:formatCode="0.00%">
                  <c:v>0.139932214162779</c:v>
                </c:pt>
                <c:pt idx="9" c:formatCode="0.00%">
                  <c:v>0.138275387488811</c:v>
                </c:pt>
                <c:pt idx="10" c:formatCode="0.00%">
                  <c:v>0.12467098156282</c:v>
                </c:pt>
                <c:pt idx="11" c:formatCode="0.00%">
                  <c:v>0.124636436495339</c:v>
                </c:pt>
                <c:pt idx="12" c:formatCode="0.00%">
                  <c:v>0.109150479057361</c:v>
                </c:pt>
                <c:pt idx="13" c:formatCode="0.00%">
                  <c:v>0.0845837163567779</c:v>
                </c:pt>
                <c:pt idx="14" c:formatCode="0.00%">
                  <c:v>0.0674216825437685</c:v>
                </c:pt>
                <c:pt idx="15" c:formatCode="0.00%">
                  <c:v>0.0159946351383664</c:v>
                </c:pt>
                <c:pt idx="16" c:formatCode="0.00%">
                  <c:v>0.0153081310088784</c:v>
                </c:pt>
                <c:pt idx="17" c:formatCode="0.00%">
                  <c:v>0.0136044059259912</c:v>
                </c:pt>
                <c:pt idx="18" c:formatCode="0.00%">
                  <c:v>3.51215469820639e-17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92508209"/>
        <c:axId val="92867049"/>
      </c:lineChart>
      <c:catAx>
        <c:axId val="892508209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Flight Time (s)</a:t>
                </a:r>
                <a:endParaRPr sz="14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867049"/>
        <c:crosses val="autoZero"/>
        <c:auto val="1"/>
        <c:lblAlgn val="ctr"/>
        <c:lblOffset val="100"/>
        <c:noMultiLvlLbl val="0"/>
      </c:catAx>
      <c:valAx>
        <c:axId val="92867049"/>
        <c:scaling>
          <c:orientation val="minMax"/>
          <c:max val="1.1"/>
          <c:min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SOC (%)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0107781100062583"/>
              <c:y val="0.42901265194740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250820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b31e2b4-ca36-4ecf-9fc7-4f8d4d8deac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Energy Remains VS. Flight Time</a:t>
            </a:r>
            <a:endParaRPr sz="1800"/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Archer Midnight - 3000 ft</a:t>
            </a:r>
            <a:endParaRPr sz="1800"/>
          </a:p>
        </c:rich>
      </c:tx>
      <c:layout>
        <c:manualLayout>
          <c:xMode val="edge"/>
          <c:yMode val="edge"/>
          <c:x val="0.316932156642964"/>
          <c:y val="0.03686724380570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"30 mi - Archer Midnight"</c:f>
              <c:strCache>
                <c:ptCount val="1"/>
                <c:pt idx="0">
                  <c:v>30 mi - Archer Midnight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'3000 ft'!$C$2:$U$2</c:f>
              <c:numCache>
                <c:formatCode>General</c:formatCode>
                <c:ptCount val="19"/>
                <c:pt idx="0">
                  <c:v>0</c:v>
                </c:pt>
                <c:pt idx="1">
                  <c:v>30</c:v>
                </c:pt>
                <c:pt idx="2">
                  <c:v>42</c:v>
                </c:pt>
                <c:pt idx="3">
                  <c:v>72</c:v>
                </c:pt>
                <c:pt idx="4">
                  <c:v>90</c:v>
                </c:pt>
                <c:pt idx="5">
                  <c:v>234</c:v>
                </c:pt>
                <c:pt idx="6">
                  <c:v>657</c:v>
                </c:pt>
                <c:pt idx="7">
                  <c:v>801</c:v>
                </c:pt>
                <c:pt idx="8">
                  <c:v>819</c:v>
                </c:pt>
                <c:pt idx="9">
                  <c:v>849</c:v>
                </c:pt>
                <c:pt idx="10">
                  <c:v>861</c:v>
                </c:pt>
                <c:pt idx="11">
                  <c:v>891</c:v>
                </c:pt>
                <c:pt idx="12">
                  <c:v>903</c:v>
                </c:pt>
                <c:pt idx="13">
                  <c:v>933</c:v>
                </c:pt>
                <c:pt idx="14">
                  <c:v>957</c:v>
                </c:pt>
                <c:pt idx="15">
                  <c:v>1038</c:v>
                </c:pt>
                <c:pt idx="16">
                  <c:v>1062</c:v>
                </c:pt>
                <c:pt idx="17">
                  <c:v>1092</c:v>
                </c:pt>
                <c:pt idx="18">
                  <c:v>1104</c:v>
                </c:pt>
              </c:numCache>
            </c:numRef>
          </c:cat>
          <c:val>
            <c:numRef>
              <c:f>'3000 ft'!$C$5:$U$5</c:f>
              <c:numCache>
                <c:formatCode>0.00_ </c:formatCode>
                <c:ptCount val="19"/>
                <c:pt idx="0">
                  <c:v>63.933537</c:v>
                </c:pt>
                <c:pt idx="1">
                  <c:v>63.929397</c:v>
                </c:pt>
                <c:pt idx="2">
                  <c:v>61.274119</c:v>
                </c:pt>
                <c:pt idx="3">
                  <c:v>58.455106</c:v>
                </c:pt>
                <c:pt idx="4">
                  <c:v>57.906197</c:v>
                </c:pt>
                <c:pt idx="5">
                  <c:v>52.249127</c:v>
                </c:pt>
                <c:pt idx="6">
                  <c:v>21.887154</c:v>
                </c:pt>
                <c:pt idx="7">
                  <c:v>18.716511</c:v>
                </c:pt>
                <c:pt idx="8">
                  <c:v>18.167602</c:v>
                </c:pt>
                <c:pt idx="9">
                  <c:v>18.094076</c:v>
                </c:pt>
                <c:pt idx="10">
                  <c:v>15.761416</c:v>
                </c:pt>
                <c:pt idx="11">
                  <c:v>15.757276</c:v>
                </c:pt>
                <c:pt idx="12">
                  <c:v>13.101998</c:v>
                </c:pt>
                <c:pt idx="13">
                  <c:v>10.282985</c:v>
                </c:pt>
                <c:pt idx="14">
                  <c:v>8.329803</c:v>
                </c:pt>
                <c:pt idx="15">
                  <c:v>2.515808</c:v>
                </c:pt>
                <c:pt idx="16">
                  <c:v>2.411806</c:v>
                </c:pt>
                <c:pt idx="17">
                  <c:v>2.33266</c:v>
                </c:pt>
                <c:pt idx="18">
                  <c:v>0</c:v>
                </c:pt>
              </c:numCache>
            </c:numRef>
          </c:val>
          <c:smooth val="0"/>
        </c:ser>
        <c:ser>
          <c:idx val="3"/>
          <c:order val="1"/>
          <c:tx>
            <c:strRef>
              <c:f>"45 mi - Archer Midnight"</c:f>
              <c:strCache>
                <c:ptCount val="1"/>
                <c:pt idx="0">
                  <c:v>45 mi - Archer Midnight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'3000 ft'!$C$2:$U$2</c:f>
              <c:numCache>
                <c:formatCode>General</c:formatCode>
                <c:ptCount val="19"/>
                <c:pt idx="0">
                  <c:v>0</c:v>
                </c:pt>
                <c:pt idx="1">
                  <c:v>30</c:v>
                </c:pt>
                <c:pt idx="2">
                  <c:v>42</c:v>
                </c:pt>
                <c:pt idx="3">
                  <c:v>72</c:v>
                </c:pt>
                <c:pt idx="4">
                  <c:v>90</c:v>
                </c:pt>
                <c:pt idx="5">
                  <c:v>234</c:v>
                </c:pt>
                <c:pt idx="6">
                  <c:v>657</c:v>
                </c:pt>
                <c:pt idx="7">
                  <c:v>801</c:v>
                </c:pt>
                <c:pt idx="8">
                  <c:v>819</c:v>
                </c:pt>
                <c:pt idx="9">
                  <c:v>849</c:v>
                </c:pt>
                <c:pt idx="10">
                  <c:v>861</c:v>
                </c:pt>
                <c:pt idx="11">
                  <c:v>891</c:v>
                </c:pt>
                <c:pt idx="12">
                  <c:v>903</c:v>
                </c:pt>
                <c:pt idx="13">
                  <c:v>933</c:v>
                </c:pt>
                <c:pt idx="14">
                  <c:v>957</c:v>
                </c:pt>
                <c:pt idx="15">
                  <c:v>1038</c:v>
                </c:pt>
                <c:pt idx="16">
                  <c:v>1062</c:v>
                </c:pt>
                <c:pt idx="17">
                  <c:v>1092</c:v>
                </c:pt>
                <c:pt idx="18">
                  <c:v>1104</c:v>
                </c:pt>
              </c:numCache>
            </c:numRef>
          </c:cat>
          <c:val>
            <c:numRef>
              <c:f>'3000 ft'!$C$19:$U$19</c:f>
              <c:numCache>
                <c:formatCode>0.00_ </c:formatCode>
                <c:ptCount val="19"/>
                <c:pt idx="0">
                  <c:v>89.773513</c:v>
                </c:pt>
                <c:pt idx="1">
                  <c:v>89.769373</c:v>
                </c:pt>
                <c:pt idx="2">
                  <c:v>87.114095</c:v>
                </c:pt>
                <c:pt idx="3">
                  <c:v>84.295082</c:v>
                </c:pt>
                <c:pt idx="4">
                  <c:v>83.746173</c:v>
                </c:pt>
                <c:pt idx="5">
                  <c:v>78.089103</c:v>
                </c:pt>
                <c:pt idx="6">
                  <c:v>21.887154</c:v>
                </c:pt>
                <c:pt idx="7">
                  <c:v>18.716511</c:v>
                </c:pt>
                <c:pt idx="8">
                  <c:v>18.167602</c:v>
                </c:pt>
                <c:pt idx="9">
                  <c:v>18.094076</c:v>
                </c:pt>
                <c:pt idx="10">
                  <c:v>15.761416</c:v>
                </c:pt>
                <c:pt idx="11">
                  <c:v>15.757276</c:v>
                </c:pt>
                <c:pt idx="12">
                  <c:v>13.101998</c:v>
                </c:pt>
                <c:pt idx="13">
                  <c:v>10.282985</c:v>
                </c:pt>
                <c:pt idx="14">
                  <c:v>8.329803</c:v>
                </c:pt>
                <c:pt idx="15">
                  <c:v>2.515808</c:v>
                </c:pt>
                <c:pt idx="16">
                  <c:v>2.411806</c:v>
                </c:pt>
                <c:pt idx="17">
                  <c:v>2.33266</c:v>
                </c:pt>
                <c:pt idx="18">
                  <c:v>0</c:v>
                </c:pt>
              </c:numCache>
            </c:numRef>
          </c:val>
          <c:smooth val="0"/>
        </c:ser>
        <c:ser>
          <c:idx val="6"/>
          <c:order val="2"/>
          <c:tx>
            <c:strRef>
              <c:f>"60 mi - Archer Midnight"</c:f>
              <c:strCache>
                <c:ptCount val="1"/>
                <c:pt idx="0">
                  <c:v>60 mi - Archer Midnight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'3000 ft'!$C$2:$U$2</c:f>
              <c:numCache>
                <c:formatCode>General</c:formatCode>
                <c:ptCount val="19"/>
                <c:pt idx="0">
                  <c:v>0</c:v>
                </c:pt>
                <c:pt idx="1">
                  <c:v>30</c:v>
                </c:pt>
                <c:pt idx="2">
                  <c:v>42</c:v>
                </c:pt>
                <c:pt idx="3">
                  <c:v>72</c:v>
                </c:pt>
                <c:pt idx="4">
                  <c:v>90</c:v>
                </c:pt>
                <c:pt idx="5">
                  <c:v>234</c:v>
                </c:pt>
                <c:pt idx="6">
                  <c:v>657</c:v>
                </c:pt>
                <c:pt idx="7">
                  <c:v>801</c:v>
                </c:pt>
                <c:pt idx="8">
                  <c:v>819</c:v>
                </c:pt>
                <c:pt idx="9">
                  <c:v>849</c:v>
                </c:pt>
                <c:pt idx="10">
                  <c:v>861</c:v>
                </c:pt>
                <c:pt idx="11">
                  <c:v>891</c:v>
                </c:pt>
                <c:pt idx="12">
                  <c:v>903</c:v>
                </c:pt>
                <c:pt idx="13">
                  <c:v>933</c:v>
                </c:pt>
                <c:pt idx="14">
                  <c:v>957</c:v>
                </c:pt>
                <c:pt idx="15">
                  <c:v>1038</c:v>
                </c:pt>
                <c:pt idx="16">
                  <c:v>1062</c:v>
                </c:pt>
                <c:pt idx="17">
                  <c:v>1092</c:v>
                </c:pt>
                <c:pt idx="18">
                  <c:v>1104</c:v>
                </c:pt>
              </c:numCache>
            </c:numRef>
          </c:cat>
          <c:val>
            <c:numRef>
              <c:f>'3000 ft'!$C$33:$U$33</c:f>
              <c:numCache>
                <c:formatCode>0.00_ </c:formatCode>
                <c:ptCount val="19"/>
                <c:pt idx="0">
                  <c:v>115.61349</c:v>
                </c:pt>
                <c:pt idx="1">
                  <c:v>115.60935</c:v>
                </c:pt>
                <c:pt idx="2">
                  <c:v>112.954072</c:v>
                </c:pt>
                <c:pt idx="3">
                  <c:v>110.135059</c:v>
                </c:pt>
                <c:pt idx="4">
                  <c:v>109.58615</c:v>
                </c:pt>
                <c:pt idx="5">
                  <c:v>103.92908</c:v>
                </c:pt>
                <c:pt idx="6">
                  <c:v>21.887154</c:v>
                </c:pt>
                <c:pt idx="7">
                  <c:v>18.716511</c:v>
                </c:pt>
                <c:pt idx="8">
                  <c:v>18.167602</c:v>
                </c:pt>
                <c:pt idx="9">
                  <c:v>18.094076</c:v>
                </c:pt>
                <c:pt idx="10">
                  <c:v>15.761416</c:v>
                </c:pt>
                <c:pt idx="11">
                  <c:v>15.757276</c:v>
                </c:pt>
                <c:pt idx="12">
                  <c:v>13.101998</c:v>
                </c:pt>
                <c:pt idx="13">
                  <c:v>10.282985</c:v>
                </c:pt>
                <c:pt idx="14">
                  <c:v>8.329803</c:v>
                </c:pt>
                <c:pt idx="15">
                  <c:v>2.515808</c:v>
                </c:pt>
                <c:pt idx="16">
                  <c:v>2.411806</c:v>
                </c:pt>
                <c:pt idx="17">
                  <c:v>2.33266</c:v>
                </c:pt>
                <c:pt idx="18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5573136"/>
        <c:axId val="896156482"/>
      </c:lineChart>
      <c:catAx>
        <c:axId val="24557313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Flight Time (s)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400903884633961"/>
              <c:y val="0.932405811376508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6156482"/>
        <c:crosses val="autoZero"/>
        <c:auto val="1"/>
        <c:lblAlgn val="ctr"/>
        <c:lblOffset val="100"/>
        <c:noMultiLvlLbl val="0"/>
      </c:catAx>
      <c:valAx>
        <c:axId val="89615648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Energy (kW)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00765886979921341"/>
              <c:y val="0.40540507264220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_);[Red]\(0.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45573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ecd011d-cea1-4e41-8ba0-32eb9b9387a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Energy Remains VS. Flight Time</a:t>
            </a:r>
            <a:endParaRPr sz="1800"/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Joby S4 - 3000 ft</a:t>
            </a:r>
            <a:endParaRPr sz="1800"/>
          </a:p>
        </c:rich>
      </c:tx>
      <c:layout>
        <c:manualLayout>
          <c:xMode val="edge"/>
          <c:yMode val="edge"/>
          <c:x val="0.316932156642964"/>
          <c:y val="0.040358863917437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"30 mi - Joby S4"</c:f>
              <c:strCache>
                <c:ptCount val="1"/>
                <c:pt idx="0">
                  <c:v>30 mi - Joby S4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'3000 ft'!$C$2:$U$2</c:f>
              <c:numCache>
                <c:formatCode>General</c:formatCode>
                <c:ptCount val="19"/>
                <c:pt idx="0">
                  <c:v>0</c:v>
                </c:pt>
                <c:pt idx="1">
                  <c:v>30</c:v>
                </c:pt>
                <c:pt idx="2">
                  <c:v>42</c:v>
                </c:pt>
                <c:pt idx="3">
                  <c:v>72</c:v>
                </c:pt>
                <c:pt idx="4">
                  <c:v>90</c:v>
                </c:pt>
                <c:pt idx="5">
                  <c:v>234</c:v>
                </c:pt>
                <c:pt idx="6">
                  <c:v>657</c:v>
                </c:pt>
                <c:pt idx="7">
                  <c:v>801</c:v>
                </c:pt>
                <c:pt idx="8">
                  <c:v>819</c:v>
                </c:pt>
                <c:pt idx="9">
                  <c:v>849</c:v>
                </c:pt>
                <c:pt idx="10">
                  <c:v>861</c:v>
                </c:pt>
                <c:pt idx="11">
                  <c:v>891</c:v>
                </c:pt>
                <c:pt idx="12">
                  <c:v>903</c:v>
                </c:pt>
                <c:pt idx="13">
                  <c:v>933</c:v>
                </c:pt>
                <c:pt idx="14">
                  <c:v>957</c:v>
                </c:pt>
                <c:pt idx="15">
                  <c:v>1038</c:v>
                </c:pt>
                <c:pt idx="16">
                  <c:v>1062</c:v>
                </c:pt>
                <c:pt idx="17">
                  <c:v>1092</c:v>
                </c:pt>
                <c:pt idx="18">
                  <c:v>1104</c:v>
                </c:pt>
              </c:numCache>
            </c:numRef>
          </c:cat>
          <c:val>
            <c:numRef>
              <c:f>'3000 ft'!$C$9:$U$9</c:f>
              <c:numCache>
                <c:formatCode>0.00_ </c:formatCode>
                <c:ptCount val="19"/>
                <c:pt idx="0">
                  <c:v>46.04735</c:v>
                </c:pt>
                <c:pt idx="1">
                  <c:v>46.044215</c:v>
                </c:pt>
                <c:pt idx="2">
                  <c:v>44.394838</c:v>
                </c:pt>
                <c:pt idx="3">
                  <c:v>41.839888</c:v>
                </c:pt>
                <c:pt idx="4">
                  <c:v>41.310666</c:v>
                </c:pt>
                <c:pt idx="5">
                  <c:v>36.407407</c:v>
                </c:pt>
                <c:pt idx="6">
                  <c:v>16.972642</c:v>
                </c:pt>
                <c:pt idx="7">
                  <c:v>13.952018</c:v>
                </c:pt>
                <c:pt idx="8">
                  <c:v>13.422796</c:v>
                </c:pt>
                <c:pt idx="9">
                  <c:v>12.946634</c:v>
                </c:pt>
                <c:pt idx="10">
                  <c:v>11.497658</c:v>
                </c:pt>
                <c:pt idx="11">
                  <c:v>11.494523</c:v>
                </c:pt>
                <c:pt idx="12">
                  <c:v>9.84514600000001</c:v>
                </c:pt>
                <c:pt idx="13">
                  <c:v>7.29019600000001</c:v>
                </c:pt>
                <c:pt idx="14">
                  <c:v>5.70799400000001</c:v>
                </c:pt>
                <c:pt idx="15">
                  <c:v>1.98644300000001</c:v>
                </c:pt>
                <c:pt idx="16">
                  <c:v>1.92939400000001</c:v>
                </c:pt>
                <c:pt idx="17">
                  <c:v>1.44897600000001</c:v>
                </c:pt>
                <c:pt idx="18">
                  <c:v>6.66133814775094e-15</c:v>
                </c:pt>
              </c:numCache>
            </c:numRef>
          </c:val>
          <c:smooth val="0"/>
        </c:ser>
        <c:ser>
          <c:idx val="4"/>
          <c:order val="1"/>
          <c:tx>
            <c:strRef>
              <c:f>"45 mi - Joby S4"</c:f>
              <c:strCache>
                <c:ptCount val="1"/>
                <c:pt idx="0">
                  <c:v>45 mi - Joby S4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'3000 ft'!$C$2:$U$2</c:f>
              <c:numCache>
                <c:formatCode>General</c:formatCode>
                <c:ptCount val="19"/>
                <c:pt idx="0">
                  <c:v>0</c:v>
                </c:pt>
                <c:pt idx="1">
                  <c:v>30</c:v>
                </c:pt>
                <c:pt idx="2">
                  <c:v>42</c:v>
                </c:pt>
                <c:pt idx="3">
                  <c:v>72</c:v>
                </c:pt>
                <c:pt idx="4">
                  <c:v>90</c:v>
                </c:pt>
                <c:pt idx="5">
                  <c:v>234</c:v>
                </c:pt>
                <c:pt idx="6">
                  <c:v>657</c:v>
                </c:pt>
                <c:pt idx="7">
                  <c:v>801</c:v>
                </c:pt>
                <c:pt idx="8">
                  <c:v>819</c:v>
                </c:pt>
                <c:pt idx="9">
                  <c:v>849</c:v>
                </c:pt>
                <c:pt idx="10">
                  <c:v>861</c:v>
                </c:pt>
                <c:pt idx="11">
                  <c:v>891</c:v>
                </c:pt>
                <c:pt idx="12">
                  <c:v>903</c:v>
                </c:pt>
                <c:pt idx="13">
                  <c:v>933</c:v>
                </c:pt>
                <c:pt idx="14">
                  <c:v>957</c:v>
                </c:pt>
                <c:pt idx="15">
                  <c:v>1038</c:v>
                </c:pt>
                <c:pt idx="16">
                  <c:v>1062</c:v>
                </c:pt>
                <c:pt idx="17">
                  <c:v>1092</c:v>
                </c:pt>
                <c:pt idx="18">
                  <c:v>1104</c:v>
                </c:pt>
              </c:numCache>
            </c:numRef>
          </c:cat>
          <c:val>
            <c:numRef>
              <c:f>'3000 ft'!$C$23:$U$23</c:f>
              <c:numCache>
                <c:formatCode>0.00_ </c:formatCode>
                <c:ptCount val="19"/>
                <c:pt idx="0">
                  <c:v>62.587576</c:v>
                </c:pt>
                <c:pt idx="1">
                  <c:v>62.584441</c:v>
                </c:pt>
                <c:pt idx="2">
                  <c:v>60.935064</c:v>
                </c:pt>
                <c:pt idx="3">
                  <c:v>58.380114</c:v>
                </c:pt>
                <c:pt idx="4">
                  <c:v>57.850892</c:v>
                </c:pt>
                <c:pt idx="5">
                  <c:v>52.947633</c:v>
                </c:pt>
                <c:pt idx="6">
                  <c:v>16.972642</c:v>
                </c:pt>
                <c:pt idx="7">
                  <c:v>13.952018</c:v>
                </c:pt>
                <c:pt idx="8">
                  <c:v>13.422796</c:v>
                </c:pt>
                <c:pt idx="9">
                  <c:v>12.946634</c:v>
                </c:pt>
                <c:pt idx="10">
                  <c:v>11.497658</c:v>
                </c:pt>
                <c:pt idx="11">
                  <c:v>11.494523</c:v>
                </c:pt>
                <c:pt idx="12">
                  <c:v>9.84514600000001</c:v>
                </c:pt>
                <c:pt idx="13">
                  <c:v>7.29019600000001</c:v>
                </c:pt>
                <c:pt idx="14">
                  <c:v>5.70799400000001</c:v>
                </c:pt>
                <c:pt idx="15">
                  <c:v>1.98644300000001</c:v>
                </c:pt>
                <c:pt idx="16">
                  <c:v>1.92939400000001</c:v>
                </c:pt>
                <c:pt idx="17">
                  <c:v>1.44897600000001</c:v>
                </c:pt>
                <c:pt idx="18">
                  <c:v>6.66133814775094e-15</c:v>
                </c:pt>
              </c:numCache>
            </c:numRef>
          </c:val>
          <c:smooth val="0"/>
        </c:ser>
        <c:ser>
          <c:idx val="7"/>
          <c:order val="2"/>
          <c:tx>
            <c:strRef>
              <c:f>"60 mi - Joby S4"</c:f>
              <c:strCache>
                <c:ptCount val="1"/>
                <c:pt idx="0">
                  <c:v>60 mi - Joby S4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'3000 ft'!$C$2:$U$2</c:f>
              <c:numCache>
                <c:formatCode>General</c:formatCode>
                <c:ptCount val="19"/>
                <c:pt idx="0">
                  <c:v>0</c:v>
                </c:pt>
                <c:pt idx="1">
                  <c:v>30</c:v>
                </c:pt>
                <c:pt idx="2">
                  <c:v>42</c:v>
                </c:pt>
                <c:pt idx="3">
                  <c:v>72</c:v>
                </c:pt>
                <c:pt idx="4">
                  <c:v>90</c:v>
                </c:pt>
                <c:pt idx="5">
                  <c:v>234</c:v>
                </c:pt>
                <c:pt idx="6">
                  <c:v>657</c:v>
                </c:pt>
                <c:pt idx="7">
                  <c:v>801</c:v>
                </c:pt>
                <c:pt idx="8">
                  <c:v>819</c:v>
                </c:pt>
                <c:pt idx="9">
                  <c:v>849</c:v>
                </c:pt>
                <c:pt idx="10">
                  <c:v>861</c:v>
                </c:pt>
                <c:pt idx="11">
                  <c:v>891</c:v>
                </c:pt>
                <c:pt idx="12">
                  <c:v>903</c:v>
                </c:pt>
                <c:pt idx="13">
                  <c:v>933</c:v>
                </c:pt>
                <c:pt idx="14">
                  <c:v>957</c:v>
                </c:pt>
                <c:pt idx="15">
                  <c:v>1038</c:v>
                </c:pt>
                <c:pt idx="16">
                  <c:v>1062</c:v>
                </c:pt>
                <c:pt idx="17">
                  <c:v>1092</c:v>
                </c:pt>
                <c:pt idx="18">
                  <c:v>1104</c:v>
                </c:pt>
              </c:numCache>
            </c:numRef>
          </c:cat>
          <c:val>
            <c:numRef>
              <c:f>'3000 ft'!$C$37:$U$37</c:f>
              <c:numCache>
                <c:formatCode>0.00_ </c:formatCode>
                <c:ptCount val="19"/>
                <c:pt idx="0">
                  <c:v>79.127801</c:v>
                </c:pt>
                <c:pt idx="1">
                  <c:v>79.124666</c:v>
                </c:pt>
                <c:pt idx="2">
                  <c:v>77.475289</c:v>
                </c:pt>
                <c:pt idx="3">
                  <c:v>74.920339</c:v>
                </c:pt>
                <c:pt idx="4">
                  <c:v>74.391117</c:v>
                </c:pt>
                <c:pt idx="5">
                  <c:v>69.487858</c:v>
                </c:pt>
                <c:pt idx="6">
                  <c:v>16.972642</c:v>
                </c:pt>
                <c:pt idx="7">
                  <c:v>13.952018</c:v>
                </c:pt>
                <c:pt idx="8">
                  <c:v>13.422796</c:v>
                </c:pt>
                <c:pt idx="9">
                  <c:v>12.946634</c:v>
                </c:pt>
                <c:pt idx="10">
                  <c:v>11.497658</c:v>
                </c:pt>
                <c:pt idx="11">
                  <c:v>11.494523</c:v>
                </c:pt>
                <c:pt idx="12">
                  <c:v>9.845146</c:v>
                </c:pt>
                <c:pt idx="13">
                  <c:v>7.290196</c:v>
                </c:pt>
                <c:pt idx="14">
                  <c:v>5.707994</c:v>
                </c:pt>
                <c:pt idx="15">
                  <c:v>1.986443</c:v>
                </c:pt>
                <c:pt idx="16">
                  <c:v>1.929394</c:v>
                </c:pt>
                <c:pt idx="17">
                  <c:v>1.448976</c:v>
                </c:pt>
                <c:pt idx="18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5573136"/>
        <c:axId val="896156482"/>
      </c:lineChart>
      <c:catAx>
        <c:axId val="24557313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Flight Time (s)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400903884633961"/>
              <c:y val="0.932405811376508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6156482"/>
        <c:crosses val="autoZero"/>
        <c:auto val="1"/>
        <c:lblAlgn val="ctr"/>
        <c:lblOffset val="100"/>
        <c:noMultiLvlLbl val="0"/>
      </c:catAx>
      <c:valAx>
        <c:axId val="89615648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Energy (kW)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00765886979921341"/>
              <c:y val="0.40540507264220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_);[Red]\(0.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45573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216731a-88d7-4f09-b273-18cb4e8f95a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Energy Remains VS. Flight Time</a:t>
            </a:r>
            <a:endParaRPr sz="1800"/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Supernal S-A2 - 3000 ft</a:t>
            </a:r>
            <a:endParaRPr sz="1800"/>
          </a:p>
        </c:rich>
      </c:tx>
      <c:layout>
        <c:manualLayout>
          <c:xMode val="edge"/>
          <c:yMode val="edge"/>
          <c:x val="0.323135203027966"/>
          <c:y val="0.036886777344792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"30 mi - Supernal S-A2"</c:f>
              <c:strCache>
                <c:ptCount val="1"/>
                <c:pt idx="0">
                  <c:v>30 mi - Supernal S-A2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'3000 ft'!$C$2:$U$2</c:f>
              <c:numCache>
                <c:formatCode>General</c:formatCode>
                <c:ptCount val="19"/>
                <c:pt idx="0">
                  <c:v>0</c:v>
                </c:pt>
                <c:pt idx="1">
                  <c:v>30</c:v>
                </c:pt>
                <c:pt idx="2">
                  <c:v>42</c:v>
                </c:pt>
                <c:pt idx="3">
                  <c:v>72</c:v>
                </c:pt>
                <c:pt idx="4">
                  <c:v>90</c:v>
                </c:pt>
                <c:pt idx="5">
                  <c:v>234</c:v>
                </c:pt>
                <c:pt idx="6">
                  <c:v>657</c:v>
                </c:pt>
                <c:pt idx="7">
                  <c:v>801</c:v>
                </c:pt>
                <c:pt idx="8">
                  <c:v>819</c:v>
                </c:pt>
                <c:pt idx="9">
                  <c:v>849</c:v>
                </c:pt>
                <c:pt idx="10">
                  <c:v>861</c:v>
                </c:pt>
                <c:pt idx="11">
                  <c:v>891</c:v>
                </c:pt>
                <c:pt idx="12">
                  <c:v>903</c:v>
                </c:pt>
                <c:pt idx="13">
                  <c:v>933</c:v>
                </c:pt>
                <c:pt idx="14">
                  <c:v>957</c:v>
                </c:pt>
                <c:pt idx="15">
                  <c:v>1038</c:v>
                </c:pt>
                <c:pt idx="16">
                  <c:v>1062</c:v>
                </c:pt>
                <c:pt idx="17">
                  <c:v>1092</c:v>
                </c:pt>
                <c:pt idx="18">
                  <c:v>1104</c:v>
                </c:pt>
              </c:numCache>
            </c:numRef>
          </c:cat>
          <c:val>
            <c:numRef>
              <c:f>'3000 ft'!$C$13:$U$13</c:f>
              <c:numCache>
                <c:formatCode>0.00_ </c:formatCode>
                <c:ptCount val="19"/>
                <c:pt idx="0">
                  <c:v>68.642486</c:v>
                </c:pt>
                <c:pt idx="1">
                  <c:v>68.638118</c:v>
                </c:pt>
                <c:pt idx="2">
                  <c:v>66.680019</c:v>
                </c:pt>
                <c:pt idx="3">
                  <c:v>63.573711</c:v>
                </c:pt>
                <c:pt idx="4">
                  <c:v>62.924954</c:v>
                </c:pt>
                <c:pt idx="5">
                  <c:v>56.300934</c:v>
                </c:pt>
                <c:pt idx="6">
                  <c:v>22.342825</c:v>
                </c:pt>
                <c:pt idx="7">
                  <c:v>18.342279</c:v>
                </c:pt>
                <c:pt idx="8">
                  <c:v>17.693522</c:v>
                </c:pt>
                <c:pt idx="9">
                  <c:v>17.484027</c:v>
                </c:pt>
                <c:pt idx="10">
                  <c:v>15.763838</c:v>
                </c:pt>
                <c:pt idx="11">
                  <c:v>15.75947</c:v>
                </c:pt>
                <c:pt idx="12">
                  <c:v>13.801371</c:v>
                </c:pt>
                <c:pt idx="13">
                  <c:v>10.695063</c:v>
                </c:pt>
                <c:pt idx="14">
                  <c:v>8.52503499999998</c:v>
                </c:pt>
                <c:pt idx="15">
                  <c:v>2.02241799999998</c:v>
                </c:pt>
                <c:pt idx="16">
                  <c:v>1.93561399999998</c:v>
                </c:pt>
                <c:pt idx="17">
                  <c:v>1.72018899999998</c:v>
                </c:pt>
                <c:pt idx="18">
                  <c:v>-1.68753899743024e-14</c:v>
                </c:pt>
              </c:numCache>
            </c:numRef>
          </c:val>
          <c:smooth val="0"/>
        </c:ser>
        <c:ser>
          <c:idx val="5"/>
          <c:order val="1"/>
          <c:tx>
            <c:strRef>
              <c:f>"45 mi - Supernal S-A2"</c:f>
              <c:strCache>
                <c:ptCount val="1"/>
                <c:pt idx="0">
                  <c:v>45 mi - Supernal S-A2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'3000 ft'!$C$2:$U$2</c:f>
              <c:numCache>
                <c:formatCode>General</c:formatCode>
                <c:ptCount val="19"/>
                <c:pt idx="0">
                  <c:v>0</c:v>
                </c:pt>
                <c:pt idx="1">
                  <c:v>30</c:v>
                </c:pt>
                <c:pt idx="2">
                  <c:v>42</c:v>
                </c:pt>
                <c:pt idx="3">
                  <c:v>72</c:v>
                </c:pt>
                <c:pt idx="4">
                  <c:v>90</c:v>
                </c:pt>
                <c:pt idx="5">
                  <c:v>234</c:v>
                </c:pt>
                <c:pt idx="6">
                  <c:v>657</c:v>
                </c:pt>
                <c:pt idx="7">
                  <c:v>801</c:v>
                </c:pt>
                <c:pt idx="8">
                  <c:v>819</c:v>
                </c:pt>
                <c:pt idx="9">
                  <c:v>849</c:v>
                </c:pt>
                <c:pt idx="10">
                  <c:v>861</c:v>
                </c:pt>
                <c:pt idx="11">
                  <c:v>891</c:v>
                </c:pt>
                <c:pt idx="12">
                  <c:v>903</c:v>
                </c:pt>
                <c:pt idx="13">
                  <c:v>933</c:v>
                </c:pt>
                <c:pt idx="14">
                  <c:v>957</c:v>
                </c:pt>
                <c:pt idx="15">
                  <c:v>1038</c:v>
                </c:pt>
                <c:pt idx="16">
                  <c:v>1062</c:v>
                </c:pt>
                <c:pt idx="17">
                  <c:v>1092</c:v>
                </c:pt>
                <c:pt idx="18">
                  <c:v>1104</c:v>
                </c:pt>
              </c:numCache>
            </c:numRef>
          </c:cat>
          <c:val>
            <c:numRef>
              <c:f>'3000 ft'!$C$27:$U$27</c:f>
              <c:numCache>
                <c:formatCode>0.00_ </c:formatCode>
                <c:ptCount val="19"/>
                <c:pt idx="0">
                  <c:v>97.543004</c:v>
                </c:pt>
                <c:pt idx="1">
                  <c:v>97.538636</c:v>
                </c:pt>
                <c:pt idx="2">
                  <c:v>95.580537</c:v>
                </c:pt>
                <c:pt idx="3">
                  <c:v>92.474229</c:v>
                </c:pt>
                <c:pt idx="4">
                  <c:v>91.825472</c:v>
                </c:pt>
                <c:pt idx="5">
                  <c:v>85.201452</c:v>
                </c:pt>
                <c:pt idx="6">
                  <c:v>22.342825</c:v>
                </c:pt>
                <c:pt idx="7">
                  <c:v>18.342279</c:v>
                </c:pt>
                <c:pt idx="8">
                  <c:v>17.693522</c:v>
                </c:pt>
                <c:pt idx="9">
                  <c:v>17.484027</c:v>
                </c:pt>
                <c:pt idx="10">
                  <c:v>15.763838</c:v>
                </c:pt>
                <c:pt idx="11">
                  <c:v>15.75947</c:v>
                </c:pt>
                <c:pt idx="12">
                  <c:v>13.801371</c:v>
                </c:pt>
                <c:pt idx="13">
                  <c:v>10.695063</c:v>
                </c:pt>
                <c:pt idx="14">
                  <c:v>8.525035</c:v>
                </c:pt>
                <c:pt idx="15">
                  <c:v>2.022418</c:v>
                </c:pt>
                <c:pt idx="16">
                  <c:v>1.935614</c:v>
                </c:pt>
                <c:pt idx="17">
                  <c:v>1.720189</c:v>
                </c:pt>
                <c:pt idx="18">
                  <c:v>4.44089209850063e-15</c:v>
                </c:pt>
              </c:numCache>
            </c:numRef>
          </c:val>
          <c:smooth val="0"/>
        </c:ser>
        <c:ser>
          <c:idx val="8"/>
          <c:order val="2"/>
          <c:tx>
            <c:strRef>
              <c:f>"60 mi - Supernal S-A2"</c:f>
              <c:strCache>
                <c:ptCount val="1"/>
                <c:pt idx="0">
                  <c:v>60 mi - Supernal S-A2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'3000 ft'!$C$2:$U$2</c:f>
              <c:numCache>
                <c:formatCode>General</c:formatCode>
                <c:ptCount val="19"/>
                <c:pt idx="0">
                  <c:v>0</c:v>
                </c:pt>
                <c:pt idx="1">
                  <c:v>30</c:v>
                </c:pt>
                <c:pt idx="2">
                  <c:v>42</c:v>
                </c:pt>
                <c:pt idx="3">
                  <c:v>72</c:v>
                </c:pt>
                <c:pt idx="4">
                  <c:v>90</c:v>
                </c:pt>
                <c:pt idx="5">
                  <c:v>234</c:v>
                </c:pt>
                <c:pt idx="6">
                  <c:v>657</c:v>
                </c:pt>
                <c:pt idx="7">
                  <c:v>801</c:v>
                </c:pt>
                <c:pt idx="8">
                  <c:v>819</c:v>
                </c:pt>
                <c:pt idx="9">
                  <c:v>849</c:v>
                </c:pt>
                <c:pt idx="10">
                  <c:v>861</c:v>
                </c:pt>
                <c:pt idx="11">
                  <c:v>891</c:v>
                </c:pt>
                <c:pt idx="12">
                  <c:v>903</c:v>
                </c:pt>
                <c:pt idx="13">
                  <c:v>933</c:v>
                </c:pt>
                <c:pt idx="14">
                  <c:v>957</c:v>
                </c:pt>
                <c:pt idx="15">
                  <c:v>1038</c:v>
                </c:pt>
                <c:pt idx="16">
                  <c:v>1062</c:v>
                </c:pt>
                <c:pt idx="17">
                  <c:v>1092</c:v>
                </c:pt>
                <c:pt idx="18">
                  <c:v>1104</c:v>
                </c:pt>
              </c:numCache>
            </c:numRef>
          </c:cat>
          <c:val>
            <c:numRef>
              <c:f>'3000 ft'!$C$41:$U$41</c:f>
              <c:numCache>
                <c:formatCode>0.00_ </c:formatCode>
                <c:ptCount val="19"/>
                <c:pt idx="0">
                  <c:v>126.443522</c:v>
                </c:pt>
                <c:pt idx="1">
                  <c:v>126.439154</c:v>
                </c:pt>
                <c:pt idx="2">
                  <c:v>124.481055</c:v>
                </c:pt>
                <c:pt idx="3">
                  <c:v>121.374747</c:v>
                </c:pt>
                <c:pt idx="4">
                  <c:v>120.72599</c:v>
                </c:pt>
                <c:pt idx="5">
                  <c:v>114.10197</c:v>
                </c:pt>
                <c:pt idx="6">
                  <c:v>22.342825</c:v>
                </c:pt>
                <c:pt idx="7">
                  <c:v>18.342279</c:v>
                </c:pt>
                <c:pt idx="8">
                  <c:v>17.693522</c:v>
                </c:pt>
                <c:pt idx="9">
                  <c:v>17.484027</c:v>
                </c:pt>
                <c:pt idx="10">
                  <c:v>15.763838</c:v>
                </c:pt>
                <c:pt idx="11">
                  <c:v>15.75947</c:v>
                </c:pt>
                <c:pt idx="12">
                  <c:v>13.801371</c:v>
                </c:pt>
                <c:pt idx="13">
                  <c:v>10.695063</c:v>
                </c:pt>
                <c:pt idx="14">
                  <c:v>8.525035</c:v>
                </c:pt>
                <c:pt idx="15">
                  <c:v>2.022418</c:v>
                </c:pt>
                <c:pt idx="16">
                  <c:v>1.935614</c:v>
                </c:pt>
                <c:pt idx="17">
                  <c:v>1.720189</c:v>
                </c:pt>
                <c:pt idx="18">
                  <c:v>4.44089209850063e-15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5573136"/>
        <c:axId val="896156482"/>
      </c:lineChart>
      <c:catAx>
        <c:axId val="24557313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Flight Time (s)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400903884633961"/>
              <c:y val="0.932405811376508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6156482"/>
        <c:crosses val="autoZero"/>
        <c:auto val="1"/>
        <c:lblAlgn val="ctr"/>
        <c:lblOffset val="100"/>
        <c:noMultiLvlLbl val="0"/>
      </c:catAx>
      <c:valAx>
        <c:axId val="89615648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Energy (kW)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00765886979921341"/>
              <c:y val="0.40540507264220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_);[Red]\(0.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45573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3eac998-5d0b-4cc9-9729-9a03873bd63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State of Charge (SOC)</a:t>
            </a:r>
            <a:endParaRPr sz="1800"/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Archer Midnight - 3000 ft</a:t>
            </a:r>
            <a:endParaRPr sz="1800"/>
          </a:p>
        </c:rich>
      </c:tx>
      <c:layout>
        <c:manualLayout>
          <c:xMode val="edge"/>
          <c:yMode val="edge"/>
          <c:x val="0.368689452260708"/>
          <c:y val="0.068418986119464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"30 mi - Archer Midnight"</c:f>
              <c:strCache>
                <c:ptCount val="1"/>
                <c:pt idx="0">
                  <c:v>30 mi - Archer Midnight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'3000 ft'!$C$2:$U$2</c:f>
              <c:numCache>
                <c:formatCode>General</c:formatCode>
                <c:ptCount val="19"/>
                <c:pt idx="0">
                  <c:v>0</c:v>
                </c:pt>
                <c:pt idx="1">
                  <c:v>30</c:v>
                </c:pt>
                <c:pt idx="2">
                  <c:v>42</c:v>
                </c:pt>
                <c:pt idx="3">
                  <c:v>72</c:v>
                </c:pt>
                <c:pt idx="4">
                  <c:v>90</c:v>
                </c:pt>
                <c:pt idx="5">
                  <c:v>234</c:v>
                </c:pt>
                <c:pt idx="6">
                  <c:v>657</c:v>
                </c:pt>
                <c:pt idx="7">
                  <c:v>801</c:v>
                </c:pt>
                <c:pt idx="8">
                  <c:v>819</c:v>
                </c:pt>
                <c:pt idx="9">
                  <c:v>849</c:v>
                </c:pt>
                <c:pt idx="10">
                  <c:v>861</c:v>
                </c:pt>
                <c:pt idx="11">
                  <c:v>891</c:v>
                </c:pt>
                <c:pt idx="12">
                  <c:v>903</c:v>
                </c:pt>
                <c:pt idx="13">
                  <c:v>933</c:v>
                </c:pt>
                <c:pt idx="14">
                  <c:v>957</c:v>
                </c:pt>
                <c:pt idx="15">
                  <c:v>1038</c:v>
                </c:pt>
                <c:pt idx="16">
                  <c:v>1062</c:v>
                </c:pt>
                <c:pt idx="17">
                  <c:v>1092</c:v>
                </c:pt>
                <c:pt idx="18">
                  <c:v>1104</c:v>
                </c:pt>
              </c:numCache>
            </c:numRef>
          </c:cat>
          <c:val>
            <c:numRef>
              <c:f>'3000 ft'!$C$6:$U$6</c:f>
              <c:numCache>
                <c:formatCode>0%</c:formatCode>
                <c:ptCount val="19"/>
                <c:pt idx="0">
                  <c:v>1</c:v>
                </c:pt>
                <c:pt idx="1" c:formatCode="0.00%">
                  <c:v>0.999935245253207</c:v>
                </c:pt>
                <c:pt idx="2" c:formatCode="0.00%">
                  <c:v>0.958403396327033</c:v>
                </c:pt>
                <c:pt idx="3" c:formatCode="0.00%">
                  <c:v>0.914310528447691</c:v>
                </c:pt>
                <c:pt idx="4" c:formatCode="0.00%">
                  <c:v>0.905724909291347</c:v>
                </c:pt>
                <c:pt idx="5" c:formatCode="0.00%">
                  <c:v>0.817241301697417</c:v>
                </c:pt>
                <c:pt idx="6" c:formatCode="0.00%">
                  <c:v>0.342342298377767</c:v>
                </c:pt>
                <c:pt idx="7" c:formatCode="0.00%">
                  <c:v>0.292749500156702</c:v>
                </c:pt>
                <c:pt idx="8" c:formatCode="0.00%">
                  <c:v>0.284163881000358</c:v>
                </c:pt>
                <c:pt idx="9" c:formatCode="0.00%">
                  <c:v>0.283013842953816</c:v>
                </c:pt>
                <c:pt idx="10" c:formatCode="0.00%">
                  <c:v>0.246528140622034</c:v>
                </c:pt>
                <c:pt idx="11" c:formatCode="0.00%">
                  <c:v>0.246463385875241</c:v>
                </c:pt>
                <c:pt idx="12" c:formatCode="0.00%">
                  <c:v>0.204931536949066</c:v>
                </c:pt>
                <c:pt idx="13" c:formatCode="0.00%">
                  <c:v>0.160838669069725</c:v>
                </c:pt>
                <c:pt idx="14" c:formatCode="0.00%">
                  <c:v>0.130288474419928</c:v>
                </c:pt>
                <c:pt idx="15" c:formatCode="0.00%">
                  <c:v>0.0393503647389319</c:v>
                </c:pt>
                <c:pt idx="16" c:formatCode="0.00%">
                  <c:v>0.0377236441650334</c:v>
                </c:pt>
                <c:pt idx="17" c:formatCode="0.00%">
                  <c:v>0.0364857023317824</c:v>
                </c:pt>
                <c:pt idx="18" c:formatCode="0.00%">
                  <c:v>0</c:v>
                </c:pt>
              </c:numCache>
            </c:numRef>
          </c:val>
          <c:smooth val="0"/>
        </c:ser>
        <c:ser>
          <c:idx val="3"/>
          <c:order val="1"/>
          <c:tx>
            <c:strRef>
              <c:f>"45 mi - Archer Midnight"</c:f>
              <c:strCache>
                <c:ptCount val="1"/>
                <c:pt idx="0">
                  <c:v>45 mi - Archer Midnight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'3000 ft'!$C$2:$U$2</c:f>
              <c:numCache>
                <c:formatCode>General</c:formatCode>
                <c:ptCount val="19"/>
                <c:pt idx="0">
                  <c:v>0</c:v>
                </c:pt>
                <c:pt idx="1">
                  <c:v>30</c:v>
                </c:pt>
                <c:pt idx="2">
                  <c:v>42</c:v>
                </c:pt>
                <c:pt idx="3">
                  <c:v>72</c:v>
                </c:pt>
                <c:pt idx="4">
                  <c:v>90</c:v>
                </c:pt>
                <c:pt idx="5">
                  <c:v>234</c:v>
                </c:pt>
                <c:pt idx="6">
                  <c:v>657</c:v>
                </c:pt>
                <c:pt idx="7">
                  <c:v>801</c:v>
                </c:pt>
                <c:pt idx="8">
                  <c:v>819</c:v>
                </c:pt>
                <c:pt idx="9">
                  <c:v>849</c:v>
                </c:pt>
                <c:pt idx="10">
                  <c:v>861</c:v>
                </c:pt>
                <c:pt idx="11">
                  <c:v>891</c:v>
                </c:pt>
                <c:pt idx="12">
                  <c:v>903</c:v>
                </c:pt>
                <c:pt idx="13">
                  <c:v>933</c:v>
                </c:pt>
                <c:pt idx="14">
                  <c:v>957</c:v>
                </c:pt>
                <c:pt idx="15">
                  <c:v>1038</c:v>
                </c:pt>
                <c:pt idx="16">
                  <c:v>1062</c:v>
                </c:pt>
                <c:pt idx="17">
                  <c:v>1092</c:v>
                </c:pt>
                <c:pt idx="18">
                  <c:v>1104</c:v>
                </c:pt>
              </c:numCache>
            </c:numRef>
          </c:cat>
          <c:val>
            <c:numRef>
              <c:f>'3000 ft'!$C$20:$U$20</c:f>
              <c:numCache>
                <c:formatCode>0%</c:formatCode>
                <c:ptCount val="19"/>
                <c:pt idx="0">
                  <c:v>1</c:v>
                </c:pt>
                <c:pt idx="1" c:formatCode="0.00%">
                  <c:v>0.99995388394793</c:v>
                </c:pt>
                <c:pt idx="2" c:formatCode="0.00%">
                  <c:v>0.970376362569213</c:v>
                </c:pt>
                <c:pt idx="3" c:formatCode="0.00%">
                  <c:v>0.938974973609421</c:v>
                </c:pt>
                <c:pt idx="4" c:formatCode="0.00%">
                  <c:v>0.932860597757826</c:v>
                </c:pt>
                <c:pt idx="5" c:formatCode="0.00%">
                  <c:v>0.86984568599872</c:v>
                </c:pt>
                <c:pt idx="6" c:formatCode="0.00%">
                  <c:v>0.243804138532487</c:v>
                </c:pt>
                <c:pt idx="7" c:formatCode="0.00%">
                  <c:v>0.208485892715371</c:v>
                </c:pt>
                <c:pt idx="8" c:formatCode="0.00%">
                  <c:v>0.202371516863777</c:v>
                </c:pt>
                <c:pt idx="9" c:formatCode="0.00%">
                  <c:v>0.201552500234674</c:v>
                </c:pt>
                <c:pt idx="10" c:formatCode="0.00%">
                  <c:v>0.175568666896215</c:v>
                </c:pt>
                <c:pt idx="11" c:formatCode="0.00%">
                  <c:v>0.175522550844145</c:v>
                </c:pt>
                <c:pt idx="12" c:formatCode="0.00%">
                  <c:v>0.145945029465428</c:v>
                </c:pt>
                <c:pt idx="13" c:formatCode="0.00%">
                  <c:v>0.114543640505636</c:v>
                </c:pt>
                <c:pt idx="14" c:formatCode="0.00%">
                  <c:v>0.0927868668790983</c:v>
                </c:pt>
                <c:pt idx="15" c:formatCode="0.00%">
                  <c:v>0.0280239451028278</c:v>
                </c:pt>
                <c:pt idx="16" c:formatCode="0.00%">
                  <c:v>0.0268654519512899</c:v>
                </c:pt>
                <c:pt idx="17" c:formatCode="0.00%">
                  <c:v>0.0259838333384592</c:v>
                </c:pt>
                <c:pt idx="18" c:formatCode="0.00%">
                  <c:v>0</c:v>
                </c:pt>
              </c:numCache>
            </c:numRef>
          </c:val>
          <c:smooth val="0"/>
        </c:ser>
        <c:ser>
          <c:idx val="6"/>
          <c:order val="2"/>
          <c:tx>
            <c:strRef>
              <c:f>"60 mi - Archer Midnight"</c:f>
              <c:strCache>
                <c:ptCount val="1"/>
                <c:pt idx="0">
                  <c:v>60 mi - Archer Midnight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'3000 ft'!$C$2:$U$2</c:f>
              <c:numCache>
                <c:formatCode>General</c:formatCode>
                <c:ptCount val="19"/>
                <c:pt idx="0">
                  <c:v>0</c:v>
                </c:pt>
                <c:pt idx="1">
                  <c:v>30</c:v>
                </c:pt>
                <c:pt idx="2">
                  <c:v>42</c:v>
                </c:pt>
                <c:pt idx="3">
                  <c:v>72</c:v>
                </c:pt>
                <c:pt idx="4">
                  <c:v>90</c:v>
                </c:pt>
                <c:pt idx="5">
                  <c:v>234</c:v>
                </c:pt>
                <c:pt idx="6">
                  <c:v>657</c:v>
                </c:pt>
                <c:pt idx="7">
                  <c:v>801</c:v>
                </c:pt>
                <c:pt idx="8">
                  <c:v>819</c:v>
                </c:pt>
                <c:pt idx="9">
                  <c:v>849</c:v>
                </c:pt>
                <c:pt idx="10">
                  <c:v>861</c:v>
                </c:pt>
                <c:pt idx="11">
                  <c:v>891</c:v>
                </c:pt>
                <c:pt idx="12">
                  <c:v>903</c:v>
                </c:pt>
                <c:pt idx="13">
                  <c:v>933</c:v>
                </c:pt>
                <c:pt idx="14">
                  <c:v>957</c:v>
                </c:pt>
                <c:pt idx="15">
                  <c:v>1038</c:v>
                </c:pt>
                <c:pt idx="16">
                  <c:v>1062</c:v>
                </c:pt>
                <c:pt idx="17">
                  <c:v>1092</c:v>
                </c:pt>
                <c:pt idx="18">
                  <c:v>1104</c:v>
                </c:pt>
              </c:numCache>
            </c:numRef>
          </c:cat>
          <c:val>
            <c:numRef>
              <c:f>'3000 ft'!$C$34:$U$34</c:f>
              <c:numCache>
                <c:formatCode>0%</c:formatCode>
                <c:ptCount val="19"/>
                <c:pt idx="0">
                  <c:v>1</c:v>
                </c:pt>
                <c:pt idx="1" c:formatCode="0.00%">
                  <c:v>0.999964191029957</c:v>
                </c:pt>
                <c:pt idx="2" c:formatCode="0.00%">
                  <c:v>0.976997338286389</c:v>
                </c:pt>
                <c:pt idx="3" c:formatCode="0.00%">
                  <c:v>0.952614258076631</c:v>
                </c:pt>
                <c:pt idx="4" c:formatCode="0.00%">
                  <c:v>0.947866464371934</c:v>
                </c:pt>
                <c:pt idx="5" c:formatCode="0.00%">
                  <c:v>0.898935582690221</c:v>
                </c:pt>
                <c:pt idx="6" c:formatCode="0.00%">
                  <c:v>0.189313150221484</c:v>
                </c:pt>
                <c:pt idx="7" c:formatCode="0.00%">
                  <c:v>0.161888642925665</c:v>
                </c:pt>
                <c:pt idx="8" c:formatCode="0.00%">
                  <c:v>0.157140849220969</c:v>
                </c:pt>
                <c:pt idx="9" c:formatCode="0.00%">
                  <c:v>0.156504885372806</c:v>
                </c:pt>
                <c:pt idx="10" c:formatCode="0.00%">
                  <c:v>0.136328520140686</c:v>
                </c:pt>
                <c:pt idx="11" c:formatCode="0.00%">
                  <c:v>0.136292711170643</c:v>
                </c:pt>
                <c:pt idx="12" c:formatCode="0.00%">
                  <c:v>0.113325858427075</c:v>
                </c:pt>
                <c:pt idx="13" c:formatCode="0.00%">
                  <c:v>0.088942778217317</c:v>
                </c:pt>
                <c:pt idx="14" c:formatCode="0.00%">
                  <c:v>0.0720487116166115</c:v>
                </c:pt>
                <c:pt idx="15" c:formatCode="0.00%">
                  <c:v>0.0217605056295766</c:v>
                </c:pt>
                <c:pt idx="16" c:formatCode="0.00%">
                  <c:v>0.0208609393246411</c:v>
                </c:pt>
                <c:pt idx="17" c:formatCode="0.00%">
                  <c:v>0.0201763652321195</c:v>
                </c:pt>
                <c:pt idx="18" c:formatCode="0.00%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92508209"/>
        <c:axId val="92867049"/>
      </c:lineChart>
      <c:catAx>
        <c:axId val="892508209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Flight Time (s)</a:t>
                </a:r>
                <a:endParaRPr sz="14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867049"/>
        <c:crosses val="autoZero"/>
        <c:auto val="1"/>
        <c:lblAlgn val="ctr"/>
        <c:lblOffset val="100"/>
        <c:noMultiLvlLbl val="0"/>
      </c:catAx>
      <c:valAx>
        <c:axId val="92867049"/>
        <c:scaling>
          <c:orientation val="minMax"/>
          <c:max val="1.1"/>
          <c:min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SOC (%)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0107781100062583"/>
              <c:y val="0.42901265194740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250820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d069b61-3103-404f-9d8b-a97f7ea3772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State of Charge (SOC)</a:t>
            </a:r>
            <a:endParaRPr sz="1800"/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Joby S4 - 3000 ft</a:t>
            </a:r>
            <a:endParaRPr sz="1800"/>
          </a:p>
        </c:rich>
      </c:tx>
      <c:layout>
        <c:manualLayout>
          <c:xMode val="edge"/>
          <c:yMode val="edge"/>
          <c:x val="0.364169599677438"/>
          <c:y val="0.071147837521101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"30 mi - Joby S4"</c:f>
              <c:strCache>
                <c:ptCount val="1"/>
                <c:pt idx="0">
                  <c:v>30 mi - Joby S4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'3000 ft'!$C$2:$U$2</c:f>
              <c:numCache>
                <c:formatCode>General</c:formatCode>
                <c:ptCount val="19"/>
                <c:pt idx="0">
                  <c:v>0</c:v>
                </c:pt>
                <c:pt idx="1">
                  <c:v>30</c:v>
                </c:pt>
                <c:pt idx="2">
                  <c:v>42</c:v>
                </c:pt>
                <c:pt idx="3">
                  <c:v>72</c:v>
                </c:pt>
                <c:pt idx="4">
                  <c:v>90</c:v>
                </c:pt>
                <c:pt idx="5">
                  <c:v>234</c:v>
                </c:pt>
                <c:pt idx="6">
                  <c:v>657</c:v>
                </c:pt>
                <c:pt idx="7">
                  <c:v>801</c:v>
                </c:pt>
                <c:pt idx="8">
                  <c:v>819</c:v>
                </c:pt>
                <c:pt idx="9">
                  <c:v>849</c:v>
                </c:pt>
                <c:pt idx="10">
                  <c:v>861</c:v>
                </c:pt>
                <c:pt idx="11">
                  <c:v>891</c:v>
                </c:pt>
                <c:pt idx="12">
                  <c:v>903</c:v>
                </c:pt>
                <c:pt idx="13">
                  <c:v>933</c:v>
                </c:pt>
                <c:pt idx="14">
                  <c:v>957</c:v>
                </c:pt>
                <c:pt idx="15">
                  <c:v>1038</c:v>
                </c:pt>
                <c:pt idx="16">
                  <c:v>1062</c:v>
                </c:pt>
                <c:pt idx="17">
                  <c:v>1092</c:v>
                </c:pt>
                <c:pt idx="18">
                  <c:v>1104</c:v>
                </c:pt>
              </c:numCache>
            </c:numRef>
          </c:cat>
          <c:val>
            <c:numRef>
              <c:f>'3000 ft'!$C$10:$U$10</c:f>
              <c:numCache>
                <c:formatCode>0%</c:formatCode>
                <c:ptCount val="19"/>
                <c:pt idx="0">
                  <c:v>1</c:v>
                </c:pt>
                <c:pt idx="1" c:formatCode="0.00%">
                  <c:v>0.999931917906242</c:v>
                </c:pt>
                <c:pt idx="2" c:formatCode="0.00%">
                  <c:v>0.96411276653271</c:v>
                </c:pt>
                <c:pt idx="3" c:formatCode="0.00%">
                  <c:v>0.908627488878296</c:v>
                </c:pt>
                <c:pt idx="4" c:formatCode="0.00%">
                  <c:v>0.897134493081578</c:v>
                </c:pt>
                <c:pt idx="5" c:formatCode="0.00%">
                  <c:v>0.790651514147937</c:v>
                </c:pt>
                <c:pt idx="6" c:formatCode="0.00%">
                  <c:v>0.36859106984441</c:v>
                </c:pt>
                <c:pt idx="7" c:formatCode="0.00%">
                  <c:v>0.302992854094753</c:v>
                </c:pt>
                <c:pt idx="8" c:formatCode="0.00%">
                  <c:v>0.291499858298035</c:v>
                </c:pt>
                <c:pt idx="9" c:formatCode="0.00%">
                  <c:v>0.281159154652765</c:v>
                </c:pt>
                <c:pt idx="10" c:formatCode="0.00%">
                  <c:v>0.249692066970195</c:v>
                </c:pt>
                <c:pt idx="11" c:formatCode="0.00%">
                  <c:v>0.249623984876437</c:v>
                </c:pt>
                <c:pt idx="12" c:formatCode="0.00%">
                  <c:v>0.213804833502905</c:v>
                </c:pt>
                <c:pt idx="13" c:formatCode="0.00%">
                  <c:v>0.158319555848491</c:v>
                </c:pt>
                <c:pt idx="14" c:formatCode="0.00%">
                  <c:v>0.12395922892414</c:v>
                </c:pt>
                <c:pt idx="15" c:formatCode="0.00%">
                  <c:v>0.0431391383000326</c:v>
                </c:pt>
                <c:pt idx="16" c:formatCode="0.00%">
                  <c:v>0.0419002179278505</c:v>
                </c:pt>
                <c:pt idx="17" c:formatCode="0.00%">
                  <c:v>0.0314670876825704</c:v>
                </c:pt>
                <c:pt idx="18" c:formatCode="0.00%">
                  <c:v>1.44662790535198e-16</c:v>
                </c:pt>
              </c:numCache>
            </c:numRef>
          </c:val>
          <c:smooth val="0"/>
        </c:ser>
        <c:ser>
          <c:idx val="4"/>
          <c:order val="1"/>
          <c:tx>
            <c:strRef>
              <c:f>"45 mi - Joby S4"</c:f>
              <c:strCache>
                <c:ptCount val="1"/>
                <c:pt idx="0">
                  <c:v>45 mi - Joby S4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'3000 ft'!$C$2:$U$2</c:f>
              <c:numCache>
                <c:formatCode>General</c:formatCode>
                <c:ptCount val="19"/>
                <c:pt idx="0">
                  <c:v>0</c:v>
                </c:pt>
                <c:pt idx="1">
                  <c:v>30</c:v>
                </c:pt>
                <c:pt idx="2">
                  <c:v>42</c:v>
                </c:pt>
                <c:pt idx="3">
                  <c:v>72</c:v>
                </c:pt>
                <c:pt idx="4">
                  <c:v>90</c:v>
                </c:pt>
                <c:pt idx="5">
                  <c:v>234</c:v>
                </c:pt>
                <c:pt idx="6">
                  <c:v>657</c:v>
                </c:pt>
                <c:pt idx="7">
                  <c:v>801</c:v>
                </c:pt>
                <c:pt idx="8">
                  <c:v>819</c:v>
                </c:pt>
                <c:pt idx="9">
                  <c:v>849</c:v>
                </c:pt>
                <c:pt idx="10">
                  <c:v>861</c:v>
                </c:pt>
                <c:pt idx="11">
                  <c:v>891</c:v>
                </c:pt>
                <c:pt idx="12">
                  <c:v>903</c:v>
                </c:pt>
                <c:pt idx="13">
                  <c:v>933</c:v>
                </c:pt>
                <c:pt idx="14">
                  <c:v>957</c:v>
                </c:pt>
                <c:pt idx="15">
                  <c:v>1038</c:v>
                </c:pt>
                <c:pt idx="16">
                  <c:v>1062</c:v>
                </c:pt>
                <c:pt idx="17">
                  <c:v>1092</c:v>
                </c:pt>
                <c:pt idx="18">
                  <c:v>1104</c:v>
                </c:pt>
              </c:numCache>
            </c:numRef>
          </c:cat>
          <c:val>
            <c:numRef>
              <c:f>'3000 ft'!$C$24:$U$24</c:f>
              <c:numCache>
                <c:formatCode>0%</c:formatCode>
                <c:ptCount val="19"/>
                <c:pt idx="0">
                  <c:v>1</c:v>
                </c:pt>
                <c:pt idx="1" c:formatCode="0.00%">
                  <c:v>0.999949910186648</c:v>
                </c:pt>
                <c:pt idx="2" c:formatCode="0.00%">
                  <c:v>0.973596804579874</c:v>
                </c:pt>
                <c:pt idx="3" c:formatCode="0.00%">
                  <c:v>0.932774805018811</c:v>
                </c:pt>
                <c:pt idx="4" c:formatCode="0.00%">
                  <c:v>0.924319101286172</c:v>
                </c:pt>
                <c:pt idx="5" c:formatCode="0.00%">
                  <c:v>0.845976731867679</c:v>
                </c:pt>
                <c:pt idx="6" c:formatCode="0.00%">
                  <c:v>0.271182287040482</c:v>
                </c:pt>
                <c:pt idx="7" c:formatCode="0.00%">
                  <c:v>0.222919929028726</c:v>
                </c:pt>
                <c:pt idx="8" c:formatCode="0.00%">
                  <c:v>0.214464225296088</c:v>
                </c:pt>
                <c:pt idx="9" c:formatCode="0.00%">
                  <c:v>0.206856293651635</c:v>
                </c:pt>
                <c:pt idx="10" c:formatCode="0.00%">
                  <c:v>0.183705117450147</c:v>
                </c:pt>
                <c:pt idx="11" c:formatCode="0.00%">
                  <c:v>0.183655027636795</c:v>
                </c:pt>
                <c:pt idx="12" c:formatCode="0.00%">
                  <c:v>0.157301922030021</c:v>
                </c:pt>
                <c:pt idx="13" c:formatCode="0.00%">
                  <c:v>0.116479922468958</c:v>
                </c:pt>
                <c:pt idx="14" c:formatCode="0.00%">
                  <c:v>0.0912001129425432</c:v>
                </c:pt>
                <c:pt idx="15" c:formatCode="0.00%">
                  <c:v>0.0317386153443617</c:v>
                </c:pt>
                <c:pt idx="16" c:formatCode="0.00%">
                  <c:v>0.0308271085622489</c:v>
                </c:pt>
                <c:pt idx="17" c:formatCode="0.00%">
                  <c:v>0.0231511762014878</c:v>
                </c:pt>
                <c:pt idx="18" c:formatCode="0.00%">
                  <c:v>1.06432275756309e-16</c:v>
                </c:pt>
              </c:numCache>
            </c:numRef>
          </c:val>
          <c:smooth val="0"/>
        </c:ser>
        <c:ser>
          <c:idx val="7"/>
          <c:order val="2"/>
          <c:tx>
            <c:strRef>
              <c:f>"60 mi - Joby S4"</c:f>
              <c:strCache>
                <c:ptCount val="1"/>
                <c:pt idx="0">
                  <c:v>60 mi - Joby S4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'3000 ft'!$C$2:$U$2</c:f>
              <c:numCache>
                <c:formatCode>General</c:formatCode>
                <c:ptCount val="19"/>
                <c:pt idx="0">
                  <c:v>0</c:v>
                </c:pt>
                <c:pt idx="1">
                  <c:v>30</c:v>
                </c:pt>
                <c:pt idx="2">
                  <c:v>42</c:v>
                </c:pt>
                <c:pt idx="3">
                  <c:v>72</c:v>
                </c:pt>
                <c:pt idx="4">
                  <c:v>90</c:v>
                </c:pt>
                <c:pt idx="5">
                  <c:v>234</c:v>
                </c:pt>
                <c:pt idx="6">
                  <c:v>657</c:v>
                </c:pt>
                <c:pt idx="7">
                  <c:v>801</c:v>
                </c:pt>
                <c:pt idx="8">
                  <c:v>819</c:v>
                </c:pt>
                <c:pt idx="9">
                  <c:v>849</c:v>
                </c:pt>
                <c:pt idx="10">
                  <c:v>861</c:v>
                </c:pt>
                <c:pt idx="11">
                  <c:v>891</c:v>
                </c:pt>
                <c:pt idx="12">
                  <c:v>903</c:v>
                </c:pt>
                <c:pt idx="13">
                  <c:v>933</c:v>
                </c:pt>
                <c:pt idx="14">
                  <c:v>957</c:v>
                </c:pt>
                <c:pt idx="15">
                  <c:v>1038</c:v>
                </c:pt>
                <c:pt idx="16">
                  <c:v>1062</c:v>
                </c:pt>
                <c:pt idx="17">
                  <c:v>1092</c:v>
                </c:pt>
                <c:pt idx="18">
                  <c:v>1104</c:v>
                </c:pt>
              </c:numCache>
            </c:numRef>
          </c:cat>
          <c:val>
            <c:numRef>
              <c:f>'3000 ft'!$C$38:$U$38</c:f>
              <c:numCache>
                <c:formatCode>0%</c:formatCode>
                <c:ptCount val="19"/>
                <c:pt idx="0">
                  <c:v>1</c:v>
                </c:pt>
                <c:pt idx="1" c:formatCode="0.00%">
                  <c:v>0.999960380549435</c:v>
                </c:pt>
                <c:pt idx="2" c:formatCode="0.00%">
                  <c:v>0.979115911486028</c:v>
                </c:pt>
                <c:pt idx="3" c:formatCode="0.00%">
                  <c:v>0.946827007109676</c:v>
                </c:pt>
                <c:pt idx="4" c:formatCode="0.00%">
                  <c:v>0.94013881416975</c:v>
                </c:pt>
                <c:pt idx="5" c:formatCode="0.00%">
                  <c:v>0.878172489590605</c:v>
                </c:pt>
                <c:pt idx="6" c:formatCode="0.00%">
                  <c:v>0.21449657118615</c:v>
                </c:pt>
                <c:pt idx="7" c:formatCode="0.00%">
                  <c:v>0.17632257972138</c:v>
                </c:pt>
                <c:pt idx="8" c:formatCode="0.00%">
                  <c:v>0.169634386781455</c:v>
                </c:pt>
                <c:pt idx="9" c:formatCode="0.00%">
                  <c:v>0.163616754622057</c:v>
                </c:pt>
                <c:pt idx="10" c:formatCode="0.00%">
                  <c:v>0.145304909964577</c:v>
                </c:pt>
                <c:pt idx="11" c:formatCode="0.00%">
                  <c:v>0.145265290514013</c:v>
                </c:pt>
                <c:pt idx="12" c:formatCode="0.00%">
                  <c:v>0.124420821450605</c:v>
                </c:pt>
                <c:pt idx="13" c:formatCode="0.00%">
                  <c:v>0.0921319170742531</c:v>
                </c:pt>
                <c:pt idx="14" c:formatCode="0.00%">
                  <c:v>0.0721363911022878</c:v>
                </c:pt>
                <c:pt idx="15" c:formatCode="0.00%">
                  <c:v>0.0251042361205008</c:v>
                </c:pt>
                <c:pt idx="16" c:formatCode="0.00%">
                  <c:v>0.0243832632224924</c:v>
                </c:pt>
                <c:pt idx="17" c:formatCode="0.00%">
                  <c:v>0.0183118446574801</c:v>
                </c:pt>
                <c:pt idx="18" c:formatCode="0.00%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92508209"/>
        <c:axId val="92867049"/>
      </c:lineChart>
      <c:catAx>
        <c:axId val="892508209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Flight Time (s)</a:t>
                </a:r>
                <a:endParaRPr sz="14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867049"/>
        <c:crosses val="autoZero"/>
        <c:auto val="1"/>
        <c:lblAlgn val="ctr"/>
        <c:lblOffset val="100"/>
        <c:noMultiLvlLbl val="0"/>
      </c:catAx>
      <c:valAx>
        <c:axId val="92867049"/>
        <c:scaling>
          <c:orientation val="minMax"/>
          <c:max val="1.1"/>
          <c:min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SOC (%)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0107781100062583"/>
              <c:y val="0.42901265194740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250820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248d575-79aa-40d0-af53-ac62cdd9f9b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State of Charge (SOC)</a:t>
            </a:r>
            <a:endParaRPr sz="1800"/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Supernal S-A2 - 3000 ft</a:t>
            </a:r>
            <a:endParaRPr sz="1800"/>
          </a:p>
        </c:rich>
      </c:tx>
      <c:layout>
        <c:manualLayout>
          <c:xMode val="edge"/>
          <c:yMode val="edge"/>
          <c:x val="0.371749044778613"/>
          <c:y val="0.068418986119464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"30 mi - Supernal S-A2"</c:f>
              <c:strCache>
                <c:ptCount val="1"/>
                <c:pt idx="0">
                  <c:v>30 mi - Supernal S-A2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'3000 ft'!$C$2:$U$2</c:f>
              <c:numCache>
                <c:formatCode>General</c:formatCode>
                <c:ptCount val="19"/>
                <c:pt idx="0">
                  <c:v>0</c:v>
                </c:pt>
                <c:pt idx="1">
                  <c:v>30</c:v>
                </c:pt>
                <c:pt idx="2">
                  <c:v>42</c:v>
                </c:pt>
                <c:pt idx="3">
                  <c:v>72</c:v>
                </c:pt>
                <c:pt idx="4">
                  <c:v>90</c:v>
                </c:pt>
                <c:pt idx="5">
                  <c:v>234</c:v>
                </c:pt>
                <c:pt idx="6">
                  <c:v>657</c:v>
                </c:pt>
                <c:pt idx="7">
                  <c:v>801</c:v>
                </c:pt>
                <c:pt idx="8">
                  <c:v>819</c:v>
                </c:pt>
                <c:pt idx="9">
                  <c:v>849</c:v>
                </c:pt>
                <c:pt idx="10">
                  <c:v>861</c:v>
                </c:pt>
                <c:pt idx="11">
                  <c:v>891</c:v>
                </c:pt>
                <c:pt idx="12">
                  <c:v>903</c:v>
                </c:pt>
                <c:pt idx="13">
                  <c:v>933</c:v>
                </c:pt>
                <c:pt idx="14">
                  <c:v>957</c:v>
                </c:pt>
                <c:pt idx="15">
                  <c:v>1038</c:v>
                </c:pt>
                <c:pt idx="16">
                  <c:v>1062</c:v>
                </c:pt>
                <c:pt idx="17">
                  <c:v>1092</c:v>
                </c:pt>
                <c:pt idx="18">
                  <c:v>1104</c:v>
                </c:pt>
              </c:numCache>
            </c:numRef>
          </c:cat>
          <c:val>
            <c:numRef>
              <c:f>'3000 ft'!$C$14:$U$14</c:f>
              <c:numCache>
                <c:formatCode>0%</c:formatCode>
                <c:ptCount val="19"/>
                <c:pt idx="0">
                  <c:v>1</c:v>
                </c:pt>
                <c:pt idx="1" c:formatCode="0.00%">
                  <c:v>0.999936365941059</c:v>
                </c:pt>
                <c:pt idx="2" c:formatCode="0.00%">
                  <c:v>0.971410315762748</c:v>
                </c:pt>
                <c:pt idx="3" c:formatCode="0.00%">
                  <c:v>0.926156884819119</c:v>
                </c:pt>
                <c:pt idx="4" c:formatCode="0.00%">
                  <c:v>0.916705639128513</c:v>
                </c:pt>
                <c:pt idx="5" c:formatCode="0.00%">
                  <c:v>0.820205346292382</c:v>
                </c:pt>
                <c:pt idx="6" c:formatCode="0.00%">
                  <c:v>0.325495568444301</c:v>
                </c:pt>
                <c:pt idx="7" c:formatCode="0.00%">
                  <c:v>0.267214666438508</c:v>
                </c:pt>
                <c:pt idx="8" c:formatCode="0.00%">
                  <c:v>0.257763420747902</c:v>
                </c:pt>
                <c:pt idx="9" c:formatCode="0.00%">
                  <c:v>0.254711447950763</c:v>
                </c:pt>
                <c:pt idx="10" c:formatCode="0.00%">
                  <c:v>0.229651327022159</c:v>
                </c:pt>
                <c:pt idx="11" c:formatCode="0.00%">
                  <c:v>0.229587692963218</c:v>
                </c:pt>
                <c:pt idx="12" c:formatCode="0.00%">
                  <c:v>0.201061642784907</c:v>
                </c:pt>
                <c:pt idx="13" c:formatCode="0.00%">
                  <c:v>0.155808211841278</c:v>
                </c:pt>
                <c:pt idx="14" c:formatCode="0.00%">
                  <c:v>0.124194729777124</c:v>
                </c:pt>
                <c:pt idx="15" c:formatCode="0.00%">
                  <c:v>0.0294630646098683</c:v>
                </c:pt>
                <c:pt idx="16" c:formatCode="0.00%">
                  <c:v>0.0281984833707798</c:v>
                </c:pt>
                <c:pt idx="17" c:formatCode="0.00%">
                  <c:v>0.0250601209286037</c:v>
                </c:pt>
                <c:pt idx="18" c:formatCode="0.00%">
                  <c:v>-2.45844679551705e-16</c:v>
                </c:pt>
              </c:numCache>
            </c:numRef>
          </c:val>
          <c:smooth val="0"/>
        </c:ser>
        <c:ser>
          <c:idx val="5"/>
          <c:order val="1"/>
          <c:tx>
            <c:strRef>
              <c:f>"45 mi - Supernal S-A2"</c:f>
              <c:strCache>
                <c:ptCount val="1"/>
                <c:pt idx="0">
                  <c:v>45 mi - Supernal S-A2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'3000 ft'!$C$2:$U$2</c:f>
              <c:numCache>
                <c:formatCode>General</c:formatCode>
                <c:ptCount val="19"/>
                <c:pt idx="0">
                  <c:v>0</c:v>
                </c:pt>
                <c:pt idx="1">
                  <c:v>30</c:v>
                </c:pt>
                <c:pt idx="2">
                  <c:v>42</c:v>
                </c:pt>
                <c:pt idx="3">
                  <c:v>72</c:v>
                </c:pt>
                <c:pt idx="4">
                  <c:v>90</c:v>
                </c:pt>
                <c:pt idx="5">
                  <c:v>234</c:v>
                </c:pt>
                <c:pt idx="6">
                  <c:v>657</c:v>
                </c:pt>
                <c:pt idx="7">
                  <c:v>801</c:v>
                </c:pt>
                <c:pt idx="8">
                  <c:v>819</c:v>
                </c:pt>
                <c:pt idx="9">
                  <c:v>849</c:v>
                </c:pt>
                <c:pt idx="10">
                  <c:v>861</c:v>
                </c:pt>
                <c:pt idx="11">
                  <c:v>891</c:v>
                </c:pt>
                <c:pt idx="12">
                  <c:v>903</c:v>
                </c:pt>
                <c:pt idx="13">
                  <c:v>933</c:v>
                </c:pt>
                <c:pt idx="14">
                  <c:v>957</c:v>
                </c:pt>
                <c:pt idx="15">
                  <c:v>1038</c:v>
                </c:pt>
                <c:pt idx="16">
                  <c:v>1062</c:v>
                </c:pt>
                <c:pt idx="17">
                  <c:v>1092</c:v>
                </c:pt>
                <c:pt idx="18">
                  <c:v>1104</c:v>
                </c:pt>
              </c:numCache>
            </c:numRef>
          </c:cat>
          <c:val>
            <c:numRef>
              <c:f>'3000 ft'!$C$28:$U$28</c:f>
              <c:numCache>
                <c:formatCode>0%</c:formatCode>
                <c:ptCount val="19"/>
                <c:pt idx="0">
                  <c:v>1</c:v>
                </c:pt>
                <c:pt idx="1" c:formatCode="0.00%">
                  <c:v>0.999955219751075</c:v>
                </c:pt>
                <c:pt idx="2" c:formatCode="0.00%">
                  <c:v>0.979881007150446</c:v>
                </c:pt>
                <c:pt idx="3" c:formatCode="0.00%">
                  <c:v>0.948035483918457</c:v>
                </c:pt>
                <c:pt idx="4" c:formatCode="0.00%">
                  <c:v>0.941384499497268</c:v>
                </c:pt>
                <c:pt idx="5" c:formatCode="0.00%">
                  <c:v>0.873475785100898</c:v>
                </c:pt>
                <c:pt idx="6" c:formatCode="0.00%">
                  <c:v>0.229056150454419</c:v>
                </c:pt>
                <c:pt idx="7" c:formatCode="0.00%">
                  <c:v>0.188042998962796</c:v>
                </c:pt>
                <c:pt idx="8" c:formatCode="0.00%">
                  <c:v>0.181392014541607</c:v>
                </c:pt>
                <c:pt idx="9" c:formatCode="0.00%">
                  <c:v>0.179244295162368</c:v>
                </c:pt>
                <c:pt idx="10" c:formatCode="0.00%">
                  <c:v>0.161609109352425</c:v>
                </c:pt>
                <c:pt idx="11" c:formatCode="0.00%">
                  <c:v>0.1615643291035</c:v>
                </c:pt>
                <c:pt idx="12" c:formatCode="0.00%">
                  <c:v>0.141490116502871</c:v>
                </c:pt>
                <c:pt idx="13" c:formatCode="0.00%">
                  <c:v>0.109644593270882</c:v>
                </c:pt>
                <c:pt idx="14" c:formatCode="0.00%">
                  <c:v>0.0873977081944288</c:v>
                </c:pt>
                <c:pt idx="15" c:formatCode="0.00%">
                  <c:v>0.0207336038164255</c:v>
                </c:pt>
                <c:pt idx="16" c:formatCode="0.00%">
                  <c:v>0.0198436988879285</c:v>
                </c:pt>
                <c:pt idx="17" c:formatCode="0.00%">
                  <c:v>0.0176351858099429</c:v>
                </c:pt>
                <c:pt idx="18" c:formatCode="0.00%">
                  <c:v>4.5527530590514e-17</c:v>
                </c:pt>
              </c:numCache>
            </c:numRef>
          </c:val>
          <c:smooth val="0"/>
        </c:ser>
        <c:ser>
          <c:idx val="8"/>
          <c:order val="2"/>
          <c:tx>
            <c:strRef>
              <c:f>"60 mi - Supernal S-A2"</c:f>
              <c:strCache>
                <c:ptCount val="1"/>
                <c:pt idx="0">
                  <c:v>60 mi - Supernal S-A2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'3000 ft'!$C$2:$U$2</c:f>
              <c:numCache>
                <c:formatCode>General</c:formatCode>
                <c:ptCount val="19"/>
                <c:pt idx="0">
                  <c:v>0</c:v>
                </c:pt>
                <c:pt idx="1">
                  <c:v>30</c:v>
                </c:pt>
                <c:pt idx="2">
                  <c:v>42</c:v>
                </c:pt>
                <c:pt idx="3">
                  <c:v>72</c:v>
                </c:pt>
                <c:pt idx="4">
                  <c:v>90</c:v>
                </c:pt>
                <c:pt idx="5">
                  <c:v>234</c:v>
                </c:pt>
                <c:pt idx="6">
                  <c:v>657</c:v>
                </c:pt>
                <c:pt idx="7">
                  <c:v>801</c:v>
                </c:pt>
                <c:pt idx="8">
                  <c:v>819</c:v>
                </c:pt>
                <c:pt idx="9">
                  <c:v>849</c:v>
                </c:pt>
                <c:pt idx="10">
                  <c:v>861</c:v>
                </c:pt>
                <c:pt idx="11">
                  <c:v>891</c:v>
                </c:pt>
                <c:pt idx="12">
                  <c:v>903</c:v>
                </c:pt>
                <c:pt idx="13">
                  <c:v>933</c:v>
                </c:pt>
                <c:pt idx="14">
                  <c:v>957</c:v>
                </c:pt>
                <c:pt idx="15">
                  <c:v>1038</c:v>
                </c:pt>
                <c:pt idx="16">
                  <c:v>1062</c:v>
                </c:pt>
                <c:pt idx="17">
                  <c:v>1092</c:v>
                </c:pt>
                <c:pt idx="18">
                  <c:v>1104</c:v>
                </c:pt>
              </c:numCache>
            </c:numRef>
          </c:cat>
          <c:val>
            <c:numRef>
              <c:f>'3000 ft'!$C$42:$U$42</c:f>
              <c:numCache>
                <c:formatCode>0%</c:formatCode>
                <c:ptCount val="19"/>
                <c:pt idx="0">
                  <c:v>1</c:v>
                </c:pt>
                <c:pt idx="1" c:formatCode="0.00%">
                  <c:v>0.999965454932519</c:v>
                </c:pt>
                <c:pt idx="2" c:formatCode="0.00%">
                  <c:v>0.984479497494541</c:v>
                </c:pt>
                <c:pt idx="3" c:formatCode="0.00%">
                  <c:v>0.959912734793958</c:v>
                </c:pt>
                <c:pt idx="4" c:formatCode="0.00%">
                  <c:v>0.954781930228106</c:v>
                </c:pt>
                <c:pt idx="5" c:formatCode="0.00%">
                  <c:v>0.902394746644276</c:v>
                </c:pt>
                <c:pt idx="6" c:formatCode="0.00%">
                  <c:v>0.176702014042285</c:v>
                </c:pt>
                <c:pt idx="7" c:formatCode="0.00%">
                  <c:v>0.145063018728631</c:v>
                </c:pt>
                <c:pt idx="8" c:formatCode="0.00%">
                  <c:v>0.139932214162779</c:v>
                </c:pt>
                <c:pt idx="9" c:formatCode="0.00%">
                  <c:v>0.138275387488811</c:v>
                </c:pt>
                <c:pt idx="10" c:formatCode="0.00%">
                  <c:v>0.12467098156282</c:v>
                </c:pt>
                <c:pt idx="11" c:formatCode="0.00%">
                  <c:v>0.124636436495339</c:v>
                </c:pt>
                <c:pt idx="12" c:formatCode="0.00%">
                  <c:v>0.109150479057361</c:v>
                </c:pt>
                <c:pt idx="13" c:formatCode="0.00%">
                  <c:v>0.0845837163567779</c:v>
                </c:pt>
                <c:pt idx="14" c:formatCode="0.00%">
                  <c:v>0.0674216825437685</c:v>
                </c:pt>
                <c:pt idx="15" c:formatCode="0.00%">
                  <c:v>0.0159946351383664</c:v>
                </c:pt>
                <c:pt idx="16" c:formatCode="0.00%">
                  <c:v>0.0153081310088784</c:v>
                </c:pt>
                <c:pt idx="17" c:formatCode="0.00%">
                  <c:v>0.0136044059259912</c:v>
                </c:pt>
                <c:pt idx="18" c:formatCode="0.00%">
                  <c:v>3.51215469820639e-17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92508209"/>
        <c:axId val="92867049"/>
      </c:lineChart>
      <c:catAx>
        <c:axId val="892508209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Flight Time (s)</a:t>
                </a:r>
                <a:endParaRPr sz="14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867049"/>
        <c:crosses val="autoZero"/>
        <c:auto val="1"/>
        <c:lblAlgn val="ctr"/>
        <c:lblOffset val="100"/>
        <c:noMultiLvlLbl val="0"/>
      </c:catAx>
      <c:valAx>
        <c:axId val="92867049"/>
        <c:scaling>
          <c:orientation val="minMax"/>
          <c:max val="1.1"/>
          <c:min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SOC (%)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0107781100062583"/>
              <c:y val="0.42901265194740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250820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64eb42d-5a2e-41bf-a6c1-7084db90e32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739775</xdr:colOff>
      <xdr:row>46</xdr:row>
      <xdr:rowOff>62230</xdr:rowOff>
    </xdr:from>
    <xdr:to>
      <xdr:col>14</xdr:col>
      <xdr:colOff>466090</xdr:colOff>
      <xdr:row>74</xdr:row>
      <xdr:rowOff>176530</xdr:rowOff>
    </xdr:to>
    <xdr:graphicFrame>
      <xdr:nvGraphicFramePr>
        <xdr:cNvPr id="6" name="Chart 5"/>
        <xdr:cNvGraphicFramePr/>
      </xdr:nvGraphicFramePr>
      <xdr:xfrm>
        <a:off x="4999355" y="9206230"/>
        <a:ext cx="9197975" cy="52349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1054735</xdr:colOff>
      <xdr:row>46</xdr:row>
      <xdr:rowOff>74930</xdr:rowOff>
    </xdr:from>
    <xdr:to>
      <xdr:col>20</xdr:col>
      <xdr:colOff>1070610</xdr:colOff>
      <xdr:row>74</xdr:row>
      <xdr:rowOff>151130</xdr:rowOff>
    </xdr:to>
    <xdr:graphicFrame>
      <xdr:nvGraphicFramePr>
        <xdr:cNvPr id="7" name="Chart 6"/>
        <xdr:cNvGraphicFramePr/>
      </xdr:nvGraphicFramePr>
      <xdr:xfrm>
        <a:off x="14785975" y="9218930"/>
        <a:ext cx="9129395" cy="5196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676275</xdr:colOff>
      <xdr:row>76</xdr:row>
      <xdr:rowOff>113030</xdr:rowOff>
    </xdr:from>
    <xdr:to>
      <xdr:col>14</xdr:col>
      <xdr:colOff>402590</xdr:colOff>
      <xdr:row>105</xdr:row>
      <xdr:rowOff>44450</xdr:rowOff>
    </xdr:to>
    <xdr:graphicFrame>
      <xdr:nvGraphicFramePr>
        <xdr:cNvPr id="8" name="Chart 7"/>
        <xdr:cNvGraphicFramePr/>
      </xdr:nvGraphicFramePr>
      <xdr:xfrm>
        <a:off x="4935855" y="14743430"/>
        <a:ext cx="9197975" cy="52349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727075</xdr:colOff>
      <xdr:row>107</xdr:row>
      <xdr:rowOff>7620</xdr:rowOff>
    </xdr:from>
    <xdr:to>
      <xdr:col>14</xdr:col>
      <xdr:colOff>453390</xdr:colOff>
      <xdr:row>135</xdr:row>
      <xdr:rowOff>121920</xdr:rowOff>
    </xdr:to>
    <xdr:graphicFrame>
      <xdr:nvGraphicFramePr>
        <xdr:cNvPr id="9" name="Chart 8"/>
        <xdr:cNvGraphicFramePr/>
      </xdr:nvGraphicFramePr>
      <xdr:xfrm>
        <a:off x="4986655" y="20307300"/>
        <a:ext cx="9197975" cy="52349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720725</xdr:colOff>
      <xdr:row>137</xdr:row>
      <xdr:rowOff>39370</xdr:rowOff>
    </xdr:from>
    <xdr:to>
      <xdr:col>14</xdr:col>
      <xdr:colOff>447040</xdr:colOff>
      <xdr:row>165</xdr:row>
      <xdr:rowOff>153670</xdr:rowOff>
    </xdr:to>
    <xdr:graphicFrame>
      <xdr:nvGraphicFramePr>
        <xdr:cNvPr id="10" name="Chart 9"/>
        <xdr:cNvGraphicFramePr/>
      </xdr:nvGraphicFramePr>
      <xdr:xfrm>
        <a:off x="4980305" y="25825450"/>
        <a:ext cx="9197975" cy="52349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1086485</xdr:colOff>
      <xdr:row>76</xdr:row>
      <xdr:rowOff>152400</xdr:rowOff>
    </xdr:from>
    <xdr:to>
      <xdr:col>20</xdr:col>
      <xdr:colOff>1102360</xdr:colOff>
      <xdr:row>105</xdr:row>
      <xdr:rowOff>45720</xdr:rowOff>
    </xdr:to>
    <xdr:graphicFrame>
      <xdr:nvGraphicFramePr>
        <xdr:cNvPr id="11" name="Chart 10"/>
        <xdr:cNvGraphicFramePr/>
      </xdr:nvGraphicFramePr>
      <xdr:xfrm>
        <a:off x="14817725" y="14782800"/>
        <a:ext cx="9129395" cy="5196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1156335</xdr:colOff>
      <xdr:row>107</xdr:row>
      <xdr:rowOff>20320</xdr:rowOff>
    </xdr:from>
    <xdr:to>
      <xdr:col>20</xdr:col>
      <xdr:colOff>1172210</xdr:colOff>
      <xdr:row>135</xdr:row>
      <xdr:rowOff>96520</xdr:rowOff>
    </xdr:to>
    <xdr:graphicFrame>
      <xdr:nvGraphicFramePr>
        <xdr:cNvPr id="12" name="Chart 11"/>
        <xdr:cNvGraphicFramePr/>
      </xdr:nvGraphicFramePr>
      <xdr:xfrm>
        <a:off x="14887575" y="20320000"/>
        <a:ext cx="9129395" cy="5196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1092835</xdr:colOff>
      <xdr:row>137</xdr:row>
      <xdr:rowOff>109220</xdr:rowOff>
    </xdr:from>
    <xdr:to>
      <xdr:col>20</xdr:col>
      <xdr:colOff>1108710</xdr:colOff>
      <xdr:row>166</xdr:row>
      <xdr:rowOff>2540</xdr:rowOff>
    </xdr:to>
    <xdr:graphicFrame>
      <xdr:nvGraphicFramePr>
        <xdr:cNvPr id="13" name="Chart 12"/>
        <xdr:cNvGraphicFramePr/>
      </xdr:nvGraphicFramePr>
      <xdr:xfrm>
        <a:off x="14824075" y="25895300"/>
        <a:ext cx="9129395" cy="5196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3"/>
  <sheetViews>
    <sheetView zoomScale="70" zoomScaleNormal="70" topLeftCell="A10" workbookViewId="0">
      <selection activeCell="C29" sqref="C29:C31"/>
    </sheetView>
  </sheetViews>
  <sheetFormatPr defaultColWidth="9" defaultRowHeight="14.4"/>
  <cols>
    <col min="1" max="1" width="9" style="2"/>
    <col min="2" max="2" width="15.1111111111111" style="2" customWidth="1"/>
    <col min="3" max="3" width="11.1111111111111" style="2" customWidth="1"/>
    <col min="4" max="4" width="11.7777777777778" style="2" customWidth="1"/>
    <col min="5" max="5" width="15.4444444444444" style="2" customWidth="1"/>
    <col min="6" max="6" width="17.6666666666667" style="2" customWidth="1"/>
    <col min="7" max="7" width="16" style="2" customWidth="1"/>
    <col min="8" max="8" width="10.6666666666667" style="2" customWidth="1"/>
    <col min="9" max="9" width="18.8888888888889" style="2" customWidth="1"/>
    <col min="10" max="10" width="16.7777777777778" style="2" customWidth="1"/>
    <col min="11" max="11" width="18" style="2" customWidth="1"/>
    <col min="12" max="12" width="14.4444444444444" style="2" customWidth="1"/>
    <col min="13" max="13" width="10.2222222222222" style="2" customWidth="1"/>
    <col min="14" max="14" width="19.5555555555556" style="2" customWidth="1"/>
    <col min="15" max="15" width="23.1111111111111" style="2" customWidth="1"/>
    <col min="16" max="16" width="23.7777777777778" style="2" customWidth="1"/>
    <col min="17" max="17" width="14" style="2" customWidth="1"/>
    <col min="18" max="18" width="26.6666666666667" style="2" customWidth="1"/>
    <col min="19" max="19" width="25.7777777777778" style="2" customWidth="1"/>
    <col min="20" max="20" width="25.0925925925926" style="2" customWidth="1"/>
    <col min="21" max="23" width="14.5" style="2" customWidth="1"/>
    <col min="24" max="16384" width="9" style="2"/>
  </cols>
  <sheetData>
    <row r="1" spans="2:20">
      <c r="B1" s="2" t="s">
        <v>0</v>
      </c>
      <c r="C1" s="2">
        <v>30</v>
      </c>
      <c r="D1" s="2">
        <v>6</v>
      </c>
      <c r="E1" s="2">
        <v>15</v>
      </c>
      <c r="F1" s="2">
        <v>18</v>
      </c>
      <c r="G1" s="2">
        <v>72</v>
      </c>
      <c r="H1" s="2">
        <v>558</v>
      </c>
      <c r="I1" s="2">
        <v>72</v>
      </c>
      <c r="J1" s="2">
        <v>18</v>
      </c>
      <c r="K1" s="2">
        <v>15</v>
      </c>
      <c r="L1" s="2">
        <v>6</v>
      </c>
      <c r="M1" s="2">
        <v>30</v>
      </c>
      <c r="N1" s="2">
        <v>6</v>
      </c>
      <c r="O1" s="2">
        <v>15</v>
      </c>
      <c r="P1" s="2">
        <v>12</v>
      </c>
      <c r="Q1" s="2">
        <v>112</v>
      </c>
      <c r="R1" s="2">
        <v>12</v>
      </c>
      <c r="S1" s="2">
        <v>15</v>
      </c>
      <c r="T1" s="2">
        <v>6</v>
      </c>
    </row>
    <row r="2" spans="3:20"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</row>
    <row r="3" spans="1:20">
      <c r="A3" s="4" t="s">
        <v>19</v>
      </c>
      <c r="B3" s="2" t="s">
        <v>20</v>
      </c>
      <c r="C3" s="11">
        <v>0.00414</v>
      </c>
      <c r="D3" s="11">
        <v>1.410868</v>
      </c>
      <c r="E3" s="11">
        <v>2.095849</v>
      </c>
      <c r="F3" s="11">
        <v>0.548625</v>
      </c>
      <c r="G3" s="11">
        <v>3.448231</v>
      </c>
      <c r="H3" s="11">
        <v>40.956658</v>
      </c>
      <c r="I3" s="11">
        <v>0.968789</v>
      </c>
      <c r="J3" s="11">
        <v>0.548625</v>
      </c>
      <c r="K3" s="11">
        <v>0.148021</v>
      </c>
      <c r="L3" s="11">
        <v>1.088325</v>
      </c>
      <c r="M3" s="11">
        <v>0.00414</v>
      </c>
      <c r="N3" s="11">
        <v>1.410868</v>
      </c>
      <c r="O3" s="11">
        <v>2.095849</v>
      </c>
      <c r="P3" s="11">
        <v>1.583708</v>
      </c>
      <c r="Q3" s="11">
        <v>8.220691</v>
      </c>
      <c r="R3" s="11">
        <v>0.181031</v>
      </c>
      <c r="S3" s="11">
        <v>0.146841</v>
      </c>
      <c r="T3" s="12">
        <v>1.088325</v>
      </c>
    </row>
    <row r="4" s="1" customFormat="1" spans="1:20">
      <c r="A4" s="4"/>
      <c r="B4" s="1" t="s">
        <v>21</v>
      </c>
      <c r="C4" s="11">
        <v>0.003135</v>
      </c>
      <c r="D4" s="11">
        <v>0.876388</v>
      </c>
      <c r="E4" s="11">
        <v>1.79714</v>
      </c>
      <c r="F4" s="11">
        <v>0.528918</v>
      </c>
      <c r="G4" s="11">
        <v>2.920245</v>
      </c>
      <c r="H4" s="11">
        <v>25.768693</v>
      </c>
      <c r="I4" s="11">
        <v>1.042898</v>
      </c>
      <c r="J4" s="11">
        <v>0.528918</v>
      </c>
      <c r="K4" s="11">
        <v>0.06635</v>
      </c>
      <c r="L4" s="11">
        <v>0.676034</v>
      </c>
      <c r="M4" s="11">
        <v>0.003135</v>
      </c>
      <c r="N4" s="11">
        <v>0.876388</v>
      </c>
      <c r="O4" s="11">
        <v>1.79714</v>
      </c>
      <c r="P4" s="11">
        <v>1.250689</v>
      </c>
      <c r="Q4" s="11">
        <v>5.172211</v>
      </c>
      <c r="R4" s="11">
        <v>0.126243</v>
      </c>
      <c r="S4" s="11">
        <v>0.065456</v>
      </c>
      <c r="T4" s="12">
        <v>0.676034</v>
      </c>
    </row>
    <row r="5" s="1" customFormat="1" spans="1:20">
      <c r="A5" s="4"/>
      <c r="B5" s="1" t="s">
        <v>22</v>
      </c>
      <c r="C5" s="11">
        <v>0.004368</v>
      </c>
      <c r="D5" s="11">
        <v>1.040426</v>
      </c>
      <c r="E5" s="11">
        <v>2.277308</v>
      </c>
      <c r="F5" s="11">
        <v>0.648287</v>
      </c>
      <c r="G5" s="11">
        <v>3.964715</v>
      </c>
      <c r="H5" s="11">
        <v>45.7638</v>
      </c>
      <c r="I5" s="11">
        <v>1.348611</v>
      </c>
      <c r="J5" s="11">
        <v>0.648287</v>
      </c>
      <c r="K5" s="11">
        <v>0.138648</v>
      </c>
      <c r="L5" s="11">
        <v>0.802571</v>
      </c>
      <c r="M5" s="11">
        <v>0.004368</v>
      </c>
      <c r="N5" s="11">
        <v>1.040426</v>
      </c>
      <c r="O5" s="11">
        <v>2.277308</v>
      </c>
      <c r="P5" s="11">
        <v>1.725403</v>
      </c>
      <c r="Q5" s="11">
        <v>9.185566</v>
      </c>
      <c r="R5" s="11">
        <v>0.179584</v>
      </c>
      <c r="S5" s="11">
        <v>0.137403</v>
      </c>
      <c r="T5" s="12">
        <v>0.802571</v>
      </c>
    </row>
    <row r="6" customFormat="1" spans="2:20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="2" customFormat="1" spans="1:20">
      <c r="A7" s="4" t="s">
        <v>23</v>
      </c>
      <c r="B7" s="2" t="s">
        <v>20</v>
      </c>
      <c r="C7" s="11">
        <v>0.00414</v>
      </c>
      <c r="D7" s="11">
        <v>1.410868</v>
      </c>
      <c r="E7" s="11">
        <v>2.095849</v>
      </c>
      <c r="F7" s="11">
        <v>0.548625</v>
      </c>
      <c r="G7" s="11">
        <v>3.448231</v>
      </c>
      <c r="H7" s="11">
        <v>67.380308</v>
      </c>
      <c r="I7" s="11">
        <v>0.968789</v>
      </c>
      <c r="J7" s="11">
        <v>0.548625</v>
      </c>
      <c r="K7" s="11">
        <v>0.148021</v>
      </c>
      <c r="L7" s="11">
        <v>1.088325</v>
      </c>
      <c r="M7" s="11">
        <v>0.00414</v>
      </c>
      <c r="N7" s="11">
        <v>1.410868</v>
      </c>
      <c r="O7" s="11">
        <v>2.095849</v>
      </c>
      <c r="P7" s="11">
        <v>1.583708</v>
      </c>
      <c r="Q7" s="11">
        <v>8.220691</v>
      </c>
      <c r="R7" s="11">
        <v>0.181031</v>
      </c>
      <c r="S7" s="11">
        <v>0.146841</v>
      </c>
      <c r="T7" s="12">
        <v>1.088325</v>
      </c>
    </row>
    <row r="8" s="1" customFormat="1" spans="1:20">
      <c r="A8" s="4"/>
      <c r="B8" s="1" t="s">
        <v>21</v>
      </c>
      <c r="C8" s="11">
        <v>0.003135</v>
      </c>
      <c r="D8" s="11">
        <v>0.876388</v>
      </c>
      <c r="E8" s="11">
        <v>1.79714</v>
      </c>
      <c r="F8" s="11">
        <v>0.528918</v>
      </c>
      <c r="G8" s="11">
        <v>2.920245</v>
      </c>
      <c r="H8" s="11">
        <v>42.393657</v>
      </c>
      <c r="I8" s="11">
        <v>1.042898</v>
      </c>
      <c r="J8" s="11">
        <v>0.528918</v>
      </c>
      <c r="K8" s="11">
        <v>0.06635</v>
      </c>
      <c r="L8" s="11">
        <v>0.676034</v>
      </c>
      <c r="M8" s="11">
        <v>0.003135</v>
      </c>
      <c r="N8" s="11">
        <v>0.876388</v>
      </c>
      <c r="O8" s="11">
        <v>1.79714</v>
      </c>
      <c r="P8" s="11">
        <v>1.250689</v>
      </c>
      <c r="Q8" s="11">
        <v>5.172211</v>
      </c>
      <c r="R8" s="11">
        <v>0.126243</v>
      </c>
      <c r="S8" s="11">
        <v>0.065456</v>
      </c>
      <c r="T8" s="12">
        <v>0.676034</v>
      </c>
    </row>
    <row r="9" s="1" customFormat="1" spans="1:20">
      <c r="A9" s="4"/>
      <c r="B9" s="1" t="s">
        <v>22</v>
      </c>
      <c r="C9" s="11">
        <v>0.004368</v>
      </c>
      <c r="D9" s="11">
        <v>1.040426</v>
      </c>
      <c r="E9" s="11">
        <v>2.277308</v>
      </c>
      <c r="F9" s="11">
        <v>0.648287</v>
      </c>
      <c r="G9" s="11">
        <v>3.964715</v>
      </c>
      <c r="H9" s="11">
        <v>75.288832</v>
      </c>
      <c r="I9" s="11">
        <v>1.348611</v>
      </c>
      <c r="J9" s="11">
        <v>0.648287</v>
      </c>
      <c r="K9" s="11">
        <v>0.138648</v>
      </c>
      <c r="L9" s="11">
        <v>0.802571</v>
      </c>
      <c r="M9" s="11">
        <v>0.004368</v>
      </c>
      <c r="N9" s="11">
        <v>1.040426</v>
      </c>
      <c r="O9" s="11">
        <v>2.277308</v>
      </c>
      <c r="P9" s="11">
        <v>1.725403</v>
      </c>
      <c r="Q9" s="11">
        <v>9.185566</v>
      </c>
      <c r="R9" s="11">
        <v>0.179584</v>
      </c>
      <c r="S9" s="11">
        <v>0.137403</v>
      </c>
      <c r="T9" s="12">
        <v>0.802571</v>
      </c>
    </row>
    <row r="11" s="2" customFormat="1" spans="1:20">
      <c r="A11" s="4" t="s">
        <v>24</v>
      </c>
      <c r="B11" s="2" t="s">
        <v>20</v>
      </c>
      <c r="C11" s="11">
        <v>0.00414</v>
      </c>
      <c r="D11" s="11">
        <v>1.410868</v>
      </c>
      <c r="E11" s="11">
        <v>2.095849</v>
      </c>
      <c r="F11" s="11">
        <v>0.548625</v>
      </c>
      <c r="G11" s="11">
        <v>3.448231</v>
      </c>
      <c r="H11" s="11">
        <v>93.803958</v>
      </c>
      <c r="I11" s="11">
        <v>0.968789</v>
      </c>
      <c r="J11" s="11">
        <v>0.548625</v>
      </c>
      <c r="K11" s="11">
        <v>0.148021</v>
      </c>
      <c r="L11" s="11">
        <v>1.088325</v>
      </c>
      <c r="M11" s="11">
        <v>0.00414</v>
      </c>
      <c r="N11" s="11">
        <v>1.410868</v>
      </c>
      <c r="O11" s="11">
        <v>2.095849</v>
      </c>
      <c r="P11" s="11">
        <v>1.583708</v>
      </c>
      <c r="Q11" s="11">
        <v>8.220691</v>
      </c>
      <c r="R11" s="11">
        <v>0.181031</v>
      </c>
      <c r="S11" s="11">
        <v>0.146841</v>
      </c>
      <c r="T11" s="12">
        <v>1.088325</v>
      </c>
    </row>
    <row r="12" s="1" customFormat="1" spans="1:20">
      <c r="A12" s="4"/>
      <c r="B12" s="1" t="s">
        <v>21</v>
      </c>
      <c r="C12" s="11">
        <v>0.003135</v>
      </c>
      <c r="D12" s="11">
        <v>0.876388</v>
      </c>
      <c r="E12" s="11">
        <v>1.79714</v>
      </c>
      <c r="F12" s="11">
        <v>0.528918</v>
      </c>
      <c r="G12" s="11">
        <v>2.920245</v>
      </c>
      <c r="H12" s="11">
        <v>59.01862</v>
      </c>
      <c r="I12" s="11">
        <v>1.042898</v>
      </c>
      <c r="J12" s="11">
        <v>0.528918</v>
      </c>
      <c r="K12" s="11">
        <v>0.06635</v>
      </c>
      <c r="L12" s="11">
        <v>0.676034</v>
      </c>
      <c r="M12" s="11">
        <v>0.003135</v>
      </c>
      <c r="N12" s="11">
        <v>0.876388</v>
      </c>
      <c r="O12" s="11">
        <v>1.79714</v>
      </c>
      <c r="P12" s="11">
        <v>1.250689</v>
      </c>
      <c r="Q12" s="11">
        <v>5.172211</v>
      </c>
      <c r="R12" s="11">
        <v>0.126243</v>
      </c>
      <c r="S12" s="11">
        <v>0.065456</v>
      </c>
      <c r="T12" s="12">
        <v>0.676034</v>
      </c>
    </row>
    <row r="13" s="1" customFormat="1" spans="1:20">
      <c r="A13" s="4"/>
      <c r="B13" s="1" t="s">
        <v>22</v>
      </c>
      <c r="C13" s="11">
        <v>0.004368</v>
      </c>
      <c r="D13" s="11">
        <v>1.040426</v>
      </c>
      <c r="E13" s="11">
        <v>2.277308</v>
      </c>
      <c r="F13" s="11">
        <v>0.648287</v>
      </c>
      <c r="G13" s="11">
        <v>3.964715</v>
      </c>
      <c r="H13" s="11">
        <v>104.813864</v>
      </c>
      <c r="I13" s="11">
        <v>1.348611</v>
      </c>
      <c r="J13" s="11">
        <v>0.648287</v>
      </c>
      <c r="K13" s="11">
        <v>0.138648</v>
      </c>
      <c r="L13" s="11">
        <v>0.802571</v>
      </c>
      <c r="M13" s="11">
        <v>0.004368</v>
      </c>
      <c r="N13" s="11">
        <v>1.040426</v>
      </c>
      <c r="O13" s="11">
        <v>2.277308</v>
      </c>
      <c r="P13" s="11">
        <v>1.725403</v>
      </c>
      <c r="Q13" s="11">
        <v>9.185566</v>
      </c>
      <c r="R13" s="11">
        <v>0.179584</v>
      </c>
      <c r="S13" s="11">
        <v>0.137403</v>
      </c>
      <c r="T13" s="12">
        <v>0.802571</v>
      </c>
    </row>
    <row r="16" spans="1:3">
      <c r="A16" s="4" t="s">
        <v>19</v>
      </c>
      <c r="C16" s="2" t="s">
        <v>25</v>
      </c>
    </row>
    <row r="17" spans="2:3">
      <c r="B17" s="2" t="s">
        <v>20</v>
      </c>
      <c r="C17" s="10">
        <f>SUM(C3:T3)</f>
        <v>65.949584</v>
      </c>
    </row>
    <row r="18" spans="2:3">
      <c r="B18" s="1" t="s">
        <v>21</v>
      </c>
      <c r="C18" s="10">
        <f>SUM(C4:T4)</f>
        <v>44.176015</v>
      </c>
    </row>
    <row r="19" spans="2:3">
      <c r="B19" s="1" t="s">
        <v>22</v>
      </c>
      <c r="C19" s="10">
        <f>SUM(C5:T5)</f>
        <v>71.98965</v>
      </c>
    </row>
    <row r="20" spans="3:3">
      <c r="C20" s="10"/>
    </row>
    <row r="21" spans="3:3">
      <c r="C21" s="10"/>
    </row>
    <row r="22" spans="3:3">
      <c r="C22" s="10" t="s">
        <v>25</v>
      </c>
    </row>
    <row r="23" spans="1:3">
      <c r="A23" s="4" t="s">
        <v>23</v>
      </c>
      <c r="B23" s="2" t="s">
        <v>20</v>
      </c>
      <c r="C23" s="10">
        <f>SUM(C7:T7)</f>
        <v>92.373234</v>
      </c>
    </row>
    <row r="24" spans="2:3">
      <c r="B24" s="1" t="s">
        <v>21</v>
      </c>
      <c r="C24" s="10">
        <f>SUM(C8:T8)</f>
        <v>60.800979</v>
      </c>
    </row>
    <row r="25" spans="2:3">
      <c r="B25" s="1" t="s">
        <v>22</v>
      </c>
      <c r="C25" s="10">
        <f>SUM(C9:T9)</f>
        <v>101.514682</v>
      </c>
    </row>
    <row r="26" spans="3:3">
      <c r="C26" s="10"/>
    </row>
    <row r="27" spans="3:3">
      <c r="C27" s="10"/>
    </row>
    <row r="28" spans="3:3">
      <c r="C28" s="10" t="s">
        <v>25</v>
      </c>
    </row>
    <row r="29" spans="1:3">
      <c r="A29" s="4" t="s">
        <v>24</v>
      </c>
      <c r="B29" s="2" t="s">
        <v>20</v>
      </c>
      <c r="C29" s="10">
        <f>SUM(C11:T11)</f>
        <v>118.796884</v>
      </c>
    </row>
    <row r="30" spans="2:3">
      <c r="B30" s="1" t="s">
        <v>21</v>
      </c>
      <c r="C30" s="10">
        <f>SUM(C12:T12)</f>
        <v>77.425942</v>
      </c>
    </row>
    <row r="31" spans="2:3">
      <c r="B31" s="1" t="s">
        <v>22</v>
      </c>
      <c r="C31" s="10">
        <f>SUM(C13:T13)</f>
        <v>131.039714</v>
      </c>
    </row>
    <row r="32" spans="3:3">
      <c r="C32" s="10"/>
    </row>
    <row r="33" spans="3:3">
      <c r="C33" s="10"/>
    </row>
  </sheetData>
  <mergeCells count="3">
    <mergeCell ref="A3:A5"/>
    <mergeCell ref="A7:A9"/>
    <mergeCell ref="A11:A13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6"/>
  <sheetViews>
    <sheetView tabSelected="1" zoomScale="70" zoomScaleNormal="70" zoomScalePageLayoutView="27" topLeftCell="A34" workbookViewId="0">
      <selection activeCell="E52" sqref="E52"/>
    </sheetView>
  </sheetViews>
  <sheetFormatPr defaultColWidth="9" defaultRowHeight="14.4"/>
  <cols>
    <col min="1" max="1" width="9" style="2"/>
    <col min="2" max="3" width="15.1111111111111" style="2" customWidth="1"/>
    <col min="4" max="4" width="11.1111111111111" style="2" customWidth="1"/>
    <col min="5" max="5" width="11.7777777777778" style="2" customWidth="1"/>
    <col min="6" max="6" width="15.4444444444444" style="2" customWidth="1"/>
    <col min="7" max="7" width="17.6666666666667" style="2" customWidth="1"/>
    <col min="8" max="8" width="16" style="2" customWidth="1"/>
    <col min="9" max="9" width="10.6666666666667" style="2" customWidth="1"/>
    <col min="10" max="10" width="18.8888888888889" style="2" customWidth="1"/>
    <col min="11" max="11" width="16.7777777777778" style="2" customWidth="1"/>
    <col min="12" max="12" width="18" style="2" customWidth="1"/>
    <col min="13" max="13" width="14.4444444444444" style="2" customWidth="1"/>
    <col min="14" max="14" width="10.2222222222222" style="2" customWidth="1"/>
    <col min="15" max="15" width="19.5555555555556" style="2" customWidth="1"/>
    <col min="16" max="16" width="23.1111111111111" style="2" customWidth="1"/>
    <col min="17" max="17" width="23.7777777777778" style="2" customWidth="1"/>
    <col min="18" max="18" width="14" style="2" customWidth="1"/>
    <col min="19" max="19" width="26.6666666666667" style="2" customWidth="1"/>
    <col min="20" max="20" width="25.7777777777778" style="2" customWidth="1"/>
    <col min="21" max="21" width="25.0925925925926" style="2" customWidth="1"/>
    <col min="22" max="24" width="14.5" style="2" customWidth="1"/>
    <col min="25" max="25" width="9" style="2"/>
    <col min="26" max="28" width="10.6666666666667" style="2"/>
    <col min="29" max="16384" width="9" style="2"/>
  </cols>
  <sheetData>
    <row r="1" ht="28.8" spans="2:21">
      <c r="B1" s="3" t="s">
        <v>26</v>
      </c>
      <c r="E1" s="2">
        <v>12</v>
      </c>
      <c r="F1" s="2">
        <v>30</v>
      </c>
      <c r="G1" s="2">
        <v>18</v>
      </c>
      <c r="H1" s="2">
        <v>144</v>
      </c>
      <c r="I1" s="2">
        <v>423</v>
      </c>
      <c r="J1" s="2">
        <v>144</v>
      </c>
      <c r="K1" s="2">
        <v>18</v>
      </c>
      <c r="L1" s="2">
        <v>30</v>
      </c>
      <c r="M1" s="2">
        <v>12</v>
      </c>
      <c r="N1" s="2">
        <v>30</v>
      </c>
      <c r="O1" s="2">
        <v>12</v>
      </c>
      <c r="P1" s="2">
        <v>30</v>
      </c>
      <c r="Q1" s="2">
        <v>24</v>
      </c>
      <c r="R1" s="2">
        <v>81</v>
      </c>
      <c r="S1" s="2">
        <v>24</v>
      </c>
      <c r="T1" s="2">
        <v>30</v>
      </c>
      <c r="U1" s="2">
        <v>12</v>
      </c>
    </row>
    <row r="2" ht="28.8" spans="2:21">
      <c r="B2" s="3" t="s">
        <v>27</v>
      </c>
      <c r="C2" s="2">
        <v>0</v>
      </c>
      <c r="D2" s="2">
        <v>30</v>
      </c>
      <c r="E2" s="2">
        <f>D2+E1</f>
        <v>42</v>
      </c>
      <c r="F2" s="2">
        <f t="shared" ref="F2:U2" si="0">E2+F1</f>
        <v>72</v>
      </c>
      <c r="G2" s="2">
        <f t="shared" si="0"/>
        <v>90</v>
      </c>
      <c r="H2" s="2">
        <f t="shared" si="0"/>
        <v>234</v>
      </c>
      <c r="I2" s="2">
        <f t="shared" si="0"/>
        <v>657</v>
      </c>
      <c r="J2" s="2">
        <f t="shared" si="0"/>
        <v>801</v>
      </c>
      <c r="K2" s="2">
        <f t="shared" si="0"/>
        <v>819</v>
      </c>
      <c r="L2" s="2">
        <f t="shared" si="0"/>
        <v>849</v>
      </c>
      <c r="M2" s="2">
        <f t="shared" si="0"/>
        <v>861</v>
      </c>
      <c r="N2" s="2">
        <f t="shared" si="0"/>
        <v>891</v>
      </c>
      <c r="O2" s="2">
        <f t="shared" si="0"/>
        <v>903</v>
      </c>
      <c r="P2" s="2">
        <f t="shared" si="0"/>
        <v>933</v>
      </c>
      <c r="Q2" s="2">
        <f t="shared" si="0"/>
        <v>957</v>
      </c>
      <c r="R2" s="2">
        <f t="shared" si="0"/>
        <v>1038</v>
      </c>
      <c r="S2" s="2">
        <f t="shared" si="0"/>
        <v>1062</v>
      </c>
      <c r="T2" s="2">
        <f t="shared" si="0"/>
        <v>1092</v>
      </c>
      <c r="U2" s="2">
        <f t="shared" si="0"/>
        <v>1104</v>
      </c>
    </row>
    <row r="3" spans="3:21">
      <c r="C3" s="2" t="s">
        <v>28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  <c r="K3" s="2" t="s">
        <v>8</v>
      </c>
      <c r="L3" s="2" t="s">
        <v>9</v>
      </c>
      <c r="M3" s="2" t="s">
        <v>10</v>
      </c>
      <c r="N3" s="2" t="s">
        <v>11</v>
      </c>
      <c r="O3" s="2" t="s">
        <v>12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</row>
    <row r="4" spans="1:21">
      <c r="A4" s="4" t="s">
        <v>19</v>
      </c>
      <c r="B4" s="2" t="s">
        <v>20</v>
      </c>
      <c r="D4" s="5">
        <v>0.00414</v>
      </c>
      <c r="E4" s="5">
        <v>2.655278</v>
      </c>
      <c r="F4" s="5">
        <v>2.819013</v>
      </c>
      <c r="G4" s="5">
        <v>0.548909</v>
      </c>
      <c r="H4" s="5">
        <v>5.65707</v>
      </c>
      <c r="I4" s="5">
        <v>30.361973</v>
      </c>
      <c r="J4" s="5">
        <v>3.170643</v>
      </c>
      <c r="K4" s="5">
        <v>0.548909</v>
      </c>
      <c r="L4" s="5">
        <v>0.073526</v>
      </c>
      <c r="M4" s="5">
        <v>2.33266</v>
      </c>
      <c r="N4" s="5">
        <v>0.00414</v>
      </c>
      <c r="O4" s="5">
        <v>2.655278</v>
      </c>
      <c r="P4" s="5">
        <v>2.819013</v>
      </c>
      <c r="Q4" s="5">
        <v>1.953182</v>
      </c>
      <c r="R4" s="5">
        <v>5.813995</v>
      </c>
      <c r="S4" s="5">
        <v>0.104002</v>
      </c>
      <c r="T4" s="5">
        <v>0.079146</v>
      </c>
      <c r="U4" s="5">
        <v>2.33266</v>
      </c>
    </row>
    <row r="5" s="1" customFormat="1" spans="1:21">
      <c r="A5" s="4"/>
      <c r="C5" s="5">
        <f>C50</f>
        <v>63.933537</v>
      </c>
      <c r="D5" s="5">
        <f>$C$50-D4</f>
        <v>63.929397</v>
      </c>
      <c r="E5" s="5">
        <f>D5-E4</f>
        <v>61.274119</v>
      </c>
      <c r="F5" s="5">
        <f t="shared" ref="F5:U5" si="1">E5-F4</f>
        <v>58.455106</v>
      </c>
      <c r="G5" s="5">
        <f t="shared" si="1"/>
        <v>57.906197</v>
      </c>
      <c r="H5" s="5">
        <f t="shared" si="1"/>
        <v>52.249127</v>
      </c>
      <c r="I5" s="5">
        <f t="shared" si="1"/>
        <v>21.887154</v>
      </c>
      <c r="J5" s="5">
        <f t="shared" si="1"/>
        <v>18.716511</v>
      </c>
      <c r="K5" s="5">
        <f t="shared" si="1"/>
        <v>18.167602</v>
      </c>
      <c r="L5" s="5">
        <f t="shared" si="1"/>
        <v>18.094076</v>
      </c>
      <c r="M5" s="5">
        <f t="shared" si="1"/>
        <v>15.761416</v>
      </c>
      <c r="N5" s="5">
        <f t="shared" si="1"/>
        <v>15.757276</v>
      </c>
      <c r="O5" s="5">
        <f t="shared" si="1"/>
        <v>13.101998</v>
      </c>
      <c r="P5" s="5">
        <f t="shared" si="1"/>
        <v>10.282985</v>
      </c>
      <c r="Q5" s="5">
        <f t="shared" si="1"/>
        <v>8.329803</v>
      </c>
      <c r="R5" s="5">
        <f t="shared" si="1"/>
        <v>2.515808</v>
      </c>
      <c r="S5" s="5">
        <f t="shared" si="1"/>
        <v>2.411806</v>
      </c>
      <c r="T5" s="5">
        <f t="shared" si="1"/>
        <v>2.33266</v>
      </c>
      <c r="U5" s="5">
        <f t="shared" si="1"/>
        <v>0</v>
      </c>
    </row>
    <row r="6" s="1" customFormat="1" spans="1:21">
      <c r="A6" s="4"/>
      <c r="C6" s="6">
        <v>1</v>
      </c>
      <c r="D6" s="7">
        <f>D5/$C$50</f>
        <v>0.999935245253207</v>
      </c>
      <c r="E6" s="7">
        <f t="shared" ref="E6:U6" si="2">E5/$C$50</f>
        <v>0.958403396327033</v>
      </c>
      <c r="F6" s="7">
        <f t="shared" si="2"/>
        <v>0.914310528447691</v>
      </c>
      <c r="G6" s="7">
        <f t="shared" si="2"/>
        <v>0.905724909291347</v>
      </c>
      <c r="H6" s="7">
        <f t="shared" si="2"/>
        <v>0.817241301697417</v>
      </c>
      <c r="I6" s="7">
        <f t="shared" si="2"/>
        <v>0.342342298377767</v>
      </c>
      <c r="J6" s="7">
        <f t="shared" si="2"/>
        <v>0.292749500156702</v>
      </c>
      <c r="K6" s="7">
        <f t="shared" si="2"/>
        <v>0.284163881000358</v>
      </c>
      <c r="L6" s="7">
        <f t="shared" si="2"/>
        <v>0.283013842953816</v>
      </c>
      <c r="M6" s="7">
        <f t="shared" si="2"/>
        <v>0.246528140622034</v>
      </c>
      <c r="N6" s="7">
        <f t="shared" si="2"/>
        <v>0.246463385875241</v>
      </c>
      <c r="O6" s="7">
        <f t="shared" si="2"/>
        <v>0.204931536949066</v>
      </c>
      <c r="P6" s="7">
        <f t="shared" si="2"/>
        <v>0.160838669069725</v>
      </c>
      <c r="Q6" s="7">
        <f t="shared" si="2"/>
        <v>0.130288474419928</v>
      </c>
      <c r="R6" s="7">
        <f t="shared" si="2"/>
        <v>0.0393503647389319</v>
      </c>
      <c r="S6" s="7">
        <f t="shared" si="2"/>
        <v>0.0377236441650334</v>
      </c>
      <c r="T6" s="7">
        <f t="shared" si="2"/>
        <v>0.0364857023317824</v>
      </c>
      <c r="U6" s="7">
        <f t="shared" si="2"/>
        <v>0</v>
      </c>
    </row>
    <row r="7" s="1" customFormat="1" spans="1:21">
      <c r="A7" s="4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</row>
    <row r="8" s="1" customFormat="1" spans="1:21">
      <c r="A8" s="4"/>
      <c r="B8" s="1" t="s">
        <v>21</v>
      </c>
      <c r="D8" s="5">
        <v>0.003135</v>
      </c>
      <c r="E8" s="5">
        <v>1.649377</v>
      </c>
      <c r="F8" s="5">
        <v>2.55495</v>
      </c>
      <c r="G8" s="5">
        <v>0.529222</v>
      </c>
      <c r="H8" s="5">
        <v>4.903259</v>
      </c>
      <c r="I8" s="5">
        <v>19.434765</v>
      </c>
      <c r="J8" s="5">
        <v>3.020624</v>
      </c>
      <c r="K8" s="5">
        <v>0.529222</v>
      </c>
      <c r="L8" s="5">
        <v>0.476162</v>
      </c>
      <c r="M8" s="5">
        <v>1.448976</v>
      </c>
      <c r="N8" s="5">
        <v>0.003135</v>
      </c>
      <c r="O8" s="5">
        <v>1.649377</v>
      </c>
      <c r="P8" s="5">
        <v>2.55495</v>
      </c>
      <c r="Q8" s="5">
        <v>1.582202</v>
      </c>
      <c r="R8" s="5">
        <v>3.721551</v>
      </c>
      <c r="S8" s="5">
        <v>0.057049</v>
      </c>
      <c r="T8" s="5">
        <v>0.480418</v>
      </c>
      <c r="U8" s="5">
        <v>1.448976</v>
      </c>
    </row>
    <row r="9" s="1" customFormat="1" spans="1:21">
      <c r="A9" s="4"/>
      <c r="C9" s="5">
        <f>C51</f>
        <v>46.04735</v>
      </c>
      <c r="D9" s="5">
        <f>$C$51-D8</f>
        <v>46.044215</v>
      </c>
      <c r="E9" s="5">
        <f>D9-E8</f>
        <v>44.394838</v>
      </c>
      <c r="F9" s="5">
        <f t="shared" ref="F9:U9" si="3">E9-F8</f>
        <v>41.839888</v>
      </c>
      <c r="G9" s="5">
        <f t="shared" si="3"/>
        <v>41.310666</v>
      </c>
      <c r="H9" s="5">
        <f t="shared" si="3"/>
        <v>36.407407</v>
      </c>
      <c r="I9" s="5">
        <f t="shared" si="3"/>
        <v>16.972642</v>
      </c>
      <c r="J9" s="5">
        <f t="shared" si="3"/>
        <v>13.952018</v>
      </c>
      <c r="K9" s="5">
        <f t="shared" si="3"/>
        <v>13.422796</v>
      </c>
      <c r="L9" s="5">
        <f t="shared" si="3"/>
        <v>12.946634</v>
      </c>
      <c r="M9" s="5">
        <f t="shared" si="3"/>
        <v>11.497658</v>
      </c>
      <c r="N9" s="5">
        <f t="shared" si="3"/>
        <v>11.494523</v>
      </c>
      <c r="O9" s="5">
        <f t="shared" si="3"/>
        <v>9.84514600000001</v>
      </c>
      <c r="P9" s="5">
        <f t="shared" si="3"/>
        <v>7.29019600000001</v>
      </c>
      <c r="Q9" s="5">
        <f t="shared" si="3"/>
        <v>5.70799400000001</v>
      </c>
      <c r="R9" s="5">
        <f t="shared" si="3"/>
        <v>1.98644300000001</v>
      </c>
      <c r="S9" s="5">
        <f t="shared" si="3"/>
        <v>1.92939400000001</v>
      </c>
      <c r="T9" s="5">
        <f t="shared" si="3"/>
        <v>1.44897600000001</v>
      </c>
      <c r="U9" s="5">
        <f t="shared" si="3"/>
        <v>6.66133814775094e-15</v>
      </c>
    </row>
    <row r="10" s="1" customFormat="1" spans="1:21">
      <c r="A10" s="4"/>
      <c r="C10" s="6">
        <v>1</v>
      </c>
      <c r="D10" s="7">
        <f>D9/$C$51</f>
        <v>0.999931917906242</v>
      </c>
      <c r="E10" s="7">
        <f t="shared" ref="E10:U10" si="4">E9/$C$51</f>
        <v>0.96411276653271</v>
      </c>
      <c r="F10" s="7">
        <f t="shared" si="4"/>
        <v>0.908627488878296</v>
      </c>
      <c r="G10" s="7">
        <f t="shared" si="4"/>
        <v>0.897134493081578</v>
      </c>
      <c r="H10" s="7">
        <f t="shared" si="4"/>
        <v>0.790651514147937</v>
      </c>
      <c r="I10" s="7">
        <f t="shared" si="4"/>
        <v>0.36859106984441</v>
      </c>
      <c r="J10" s="7">
        <f t="shared" si="4"/>
        <v>0.302992854094753</v>
      </c>
      <c r="K10" s="7">
        <f t="shared" si="4"/>
        <v>0.291499858298035</v>
      </c>
      <c r="L10" s="7">
        <f t="shared" si="4"/>
        <v>0.281159154652765</v>
      </c>
      <c r="M10" s="7">
        <f t="shared" si="4"/>
        <v>0.249692066970195</v>
      </c>
      <c r="N10" s="7">
        <f t="shared" si="4"/>
        <v>0.249623984876437</v>
      </c>
      <c r="O10" s="7">
        <f t="shared" si="4"/>
        <v>0.213804833502905</v>
      </c>
      <c r="P10" s="7">
        <f t="shared" si="4"/>
        <v>0.158319555848491</v>
      </c>
      <c r="Q10" s="7">
        <f t="shared" si="4"/>
        <v>0.12395922892414</v>
      </c>
      <c r="R10" s="7">
        <f t="shared" si="4"/>
        <v>0.0431391383000326</v>
      </c>
      <c r="S10" s="7">
        <f t="shared" si="4"/>
        <v>0.0419002179278505</v>
      </c>
      <c r="T10" s="7">
        <f t="shared" si="4"/>
        <v>0.0314670876825704</v>
      </c>
      <c r="U10" s="7">
        <f t="shared" si="4"/>
        <v>1.44662790535198e-16</v>
      </c>
    </row>
    <row r="11" s="1" customFormat="1" spans="1:21">
      <c r="A11" s="4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s="1" customFormat="1" spans="1:21">
      <c r="A12" s="4"/>
      <c r="B12" s="1" t="s">
        <v>22</v>
      </c>
      <c r="D12" s="5">
        <v>0.004368</v>
      </c>
      <c r="E12" s="5">
        <v>1.958099</v>
      </c>
      <c r="F12" s="5">
        <v>3.106308</v>
      </c>
      <c r="G12" s="5">
        <v>0.648757</v>
      </c>
      <c r="H12" s="5">
        <v>6.62402</v>
      </c>
      <c r="I12" s="5">
        <v>33.958109</v>
      </c>
      <c r="J12" s="5">
        <v>4.000546</v>
      </c>
      <c r="K12" s="5">
        <v>0.648757</v>
      </c>
      <c r="L12" s="5">
        <v>0.209495</v>
      </c>
      <c r="M12" s="5">
        <v>1.720189</v>
      </c>
      <c r="N12" s="5">
        <v>0.004368</v>
      </c>
      <c r="O12" s="5">
        <v>1.958099</v>
      </c>
      <c r="P12" s="5">
        <v>3.106308</v>
      </c>
      <c r="Q12" s="5">
        <v>2.170028</v>
      </c>
      <c r="R12" s="5">
        <v>6.502617</v>
      </c>
      <c r="S12" s="5">
        <v>0.086804</v>
      </c>
      <c r="T12" s="5">
        <v>0.215425</v>
      </c>
      <c r="U12" s="5">
        <v>1.720189</v>
      </c>
    </row>
    <row r="13" customFormat="1" spans="1:21">
      <c r="A13" s="4"/>
      <c r="B13" s="2"/>
      <c r="C13" s="5">
        <f>C52</f>
        <v>68.642486</v>
      </c>
      <c r="D13" s="5">
        <f>$C$52-D12</f>
        <v>68.638118</v>
      </c>
      <c r="E13" s="5">
        <f>D13-E12</f>
        <v>66.680019</v>
      </c>
      <c r="F13" s="5">
        <f t="shared" ref="F13:U13" si="5">E13-F12</f>
        <v>63.573711</v>
      </c>
      <c r="G13" s="5">
        <f t="shared" si="5"/>
        <v>62.924954</v>
      </c>
      <c r="H13" s="5">
        <f t="shared" si="5"/>
        <v>56.300934</v>
      </c>
      <c r="I13" s="5">
        <f t="shared" si="5"/>
        <v>22.342825</v>
      </c>
      <c r="J13" s="5">
        <f t="shared" si="5"/>
        <v>18.342279</v>
      </c>
      <c r="K13" s="5">
        <f t="shared" si="5"/>
        <v>17.693522</v>
      </c>
      <c r="L13" s="5">
        <f t="shared" si="5"/>
        <v>17.484027</v>
      </c>
      <c r="M13" s="5">
        <f t="shared" si="5"/>
        <v>15.763838</v>
      </c>
      <c r="N13" s="5">
        <f t="shared" si="5"/>
        <v>15.75947</v>
      </c>
      <c r="O13" s="5">
        <f t="shared" si="5"/>
        <v>13.801371</v>
      </c>
      <c r="P13" s="5">
        <f t="shared" si="5"/>
        <v>10.695063</v>
      </c>
      <c r="Q13" s="5">
        <f t="shared" si="5"/>
        <v>8.52503499999998</v>
      </c>
      <c r="R13" s="5">
        <f t="shared" si="5"/>
        <v>2.02241799999998</v>
      </c>
      <c r="S13" s="5">
        <f t="shared" si="5"/>
        <v>1.93561399999998</v>
      </c>
      <c r="T13" s="5">
        <f t="shared" si="5"/>
        <v>1.72018899999998</v>
      </c>
      <c r="U13" s="5">
        <f t="shared" si="5"/>
        <v>-1.68753899743024e-14</v>
      </c>
    </row>
    <row r="14" customFormat="1" spans="1:21">
      <c r="A14" s="4"/>
      <c r="B14" s="2"/>
      <c r="C14" s="6">
        <v>1</v>
      </c>
      <c r="D14" s="7">
        <f>D13/$C$52</f>
        <v>0.999936365941059</v>
      </c>
      <c r="E14" s="7">
        <f t="shared" ref="E14:U14" si="6">E13/$C$52</f>
        <v>0.971410315762748</v>
      </c>
      <c r="F14" s="7">
        <f t="shared" si="6"/>
        <v>0.926156884819119</v>
      </c>
      <c r="G14" s="7">
        <f t="shared" si="6"/>
        <v>0.916705639128513</v>
      </c>
      <c r="H14" s="7">
        <f t="shared" si="6"/>
        <v>0.820205346292382</v>
      </c>
      <c r="I14" s="7">
        <f t="shared" si="6"/>
        <v>0.325495568444301</v>
      </c>
      <c r="J14" s="7">
        <f t="shared" si="6"/>
        <v>0.267214666438508</v>
      </c>
      <c r="K14" s="7">
        <f t="shared" si="6"/>
        <v>0.257763420747902</v>
      </c>
      <c r="L14" s="7">
        <f t="shared" si="6"/>
        <v>0.254711447950763</v>
      </c>
      <c r="M14" s="7">
        <f t="shared" si="6"/>
        <v>0.229651327022159</v>
      </c>
      <c r="N14" s="7">
        <f t="shared" si="6"/>
        <v>0.229587692963218</v>
      </c>
      <c r="O14" s="7">
        <f t="shared" si="6"/>
        <v>0.201061642784907</v>
      </c>
      <c r="P14" s="7">
        <f t="shared" si="6"/>
        <v>0.155808211841278</v>
      </c>
      <c r="Q14" s="7">
        <f t="shared" si="6"/>
        <v>0.124194729777124</v>
      </c>
      <c r="R14" s="7">
        <f t="shared" si="6"/>
        <v>0.0294630646098683</v>
      </c>
      <c r="S14" s="7">
        <f t="shared" si="6"/>
        <v>0.0281984833707798</v>
      </c>
      <c r="T14" s="7">
        <f t="shared" si="6"/>
        <v>0.0250601209286037</v>
      </c>
      <c r="U14" s="7">
        <f t="shared" si="6"/>
        <v>-2.45844679551705e-16</v>
      </c>
    </row>
    <row r="15" customFormat="1" spans="2:21">
      <c r="B15" s="2"/>
      <c r="C15" s="2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</row>
    <row r="16" customFormat="1" spans="2:21">
      <c r="B16" s="2"/>
      <c r="C16" s="2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</row>
    <row r="17" customFormat="1" ht="28.8" spans="2:21">
      <c r="B17" s="3" t="s">
        <v>26</v>
      </c>
      <c r="C17" s="2">
        <v>0</v>
      </c>
      <c r="D17" s="8">
        <v>30</v>
      </c>
      <c r="E17" s="8">
        <v>12</v>
      </c>
      <c r="F17" s="8">
        <v>30</v>
      </c>
      <c r="G17" s="8">
        <v>18</v>
      </c>
      <c r="H17" s="8">
        <v>144</v>
      </c>
      <c r="I17" s="8">
        <v>783</v>
      </c>
      <c r="J17" s="8">
        <v>144</v>
      </c>
      <c r="K17" s="8">
        <v>18</v>
      </c>
      <c r="L17" s="8">
        <v>30</v>
      </c>
      <c r="M17" s="8">
        <v>12</v>
      </c>
      <c r="N17" s="8">
        <v>30</v>
      </c>
      <c r="O17" s="8">
        <v>12</v>
      </c>
      <c r="P17" s="8">
        <v>30</v>
      </c>
      <c r="Q17" s="8">
        <v>24</v>
      </c>
      <c r="R17" s="8">
        <v>81</v>
      </c>
      <c r="S17" s="8">
        <v>24</v>
      </c>
      <c r="T17" s="8">
        <v>30</v>
      </c>
      <c r="U17" s="8">
        <v>12</v>
      </c>
    </row>
    <row r="18" s="2" customFormat="1" spans="1:21">
      <c r="A18" s="4" t="s">
        <v>23</v>
      </c>
      <c r="B18" s="2" t="s">
        <v>20</v>
      </c>
      <c r="D18" s="5">
        <v>0.00414</v>
      </c>
      <c r="E18" s="5">
        <v>2.655278</v>
      </c>
      <c r="F18" s="5">
        <v>2.819013</v>
      </c>
      <c r="G18" s="5">
        <v>0.548909</v>
      </c>
      <c r="H18" s="5">
        <v>5.65707</v>
      </c>
      <c r="I18" s="5">
        <v>56.201949</v>
      </c>
      <c r="J18" s="5">
        <v>3.170643</v>
      </c>
      <c r="K18" s="5">
        <v>0.548909</v>
      </c>
      <c r="L18" s="5">
        <v>0.073526</v>
      </c>
      <c r="M18" s="5">
        <v>2.33266</v>
      </c>
      <c r="N18" s="5">
        <v>0.00414</v>
      </c>
      <c r="O18" s="5">
        <v>2.655278</v>
      </c>
      <c r="P18" s="5">
        <v>2.819013</v>
      </c>
      <c r="Q18" s="5">
        <v>1.953182</v>
      </c>
      <c r="R18" s="5">
        <v>5.813995</v>
      </c>
      <c r="S18" s="5">
        <v>0.104002</v>
      </c>
      <c r="T18" s="5">
        <v>0.079146</v>
      </c>
      <c r="U18" s="5">
        <v>2.33266</v>
      </c>
    </row>
    <row r="19" s="1" customFormat="1" spans="1:21">
      <c r="A19" s="4"/>
      <c r="C19" s="8">
        <f>C56</f>
        <v>89.773513</v>
      </c>
      <c r="D19" s="5">
        <f>$C$56-D18</f>
        <v>89.769373</v>
      </c>
      <c r="E19" s="5">
        <f>D19-E18</f>
        <v>87.114095</v>
      </c>
      <c r="F19" s="5">
        <f t="shared" ref="F19:U19" si="7">E19-F18</f>
        <v>84.295082</v>
      </c>
      <c r="G19" s="5">
        <f t="shared" si="7"/>
        <v>83.746173</v>
      </c>
      <c r="H19" s="5">
        <f t="shared" si="7"/>
        <v>78.089103</v>
      </c>
      <c r="I19" s="5">
        <f t="shared" si="7"/>
        <v>21.887154</v>
      </c>
      <c r="J19" s="5">
        <f t="shared" si="7"/>
        <v>18.716511</v>
      </c>
      <c r="K19" s="5">
        <f t="shared" si="7"/>
        <v>18.167602</v>
      </c>
      <c r="L19" s="5">
        <f t="shared" si="7"/>
        <v>18.094076</v>
      </c>
      <c r="M19" s="5">
        <f t="shared" si="7"/>
        <v>15.761416</v>
      </c>
      <c r="N19" s="5">
        <f t="shared" si="7"/>
        <v>15.757276</v>
      </c>
      <c r="O19" s="5">
        <f t="shared" si="7"/>
        <v>13.101998</v>
      </c>
      <c r="P19" s="5">
        <f t="shared" si="7"/>
        <v>10.282985</v>
      </c>
      <c r="Q19" s="5">
        <f t="shared" si="7"/>
        <v>8.329803</v>
      </c>
      <c r="R19" s="5">
        <f t="shared" si="7"/>
        <v>2.515808</v>
      </c>
      <c r="S19" s="5">
        <f t="shared" si="7"/>
        <v>2.411806</v>
      </c>
      <c r="T19" s="5">
        <f t="shared" si="7"/>
        <v>2.33266</v>
      </c>
      <c r="U19" s="5">
        <f t="shared" si="7"/>
        <v>0</v>
      </c>
    </row>
    <row r="20" s="1" customFormat="1" spans="1:21">
      <c r="A20" s="4"/>
      <c r="C20" s="6">
        <v>1</v>
      </c>
      <c r="D20" s="7">
        <f>D19/$C$56</f>
        <v>0.99995388394793</v>
      </c>
      <c r="E20" s="7">
        <f t="shared" ref="E20:U20" si="8">E19/$C$56</f>
        <v>0.970376362569213</v>
      </c>
      <c r="F20" s="7">
        <f t="shared" si="8"/>
        <v>0.938974973609421</v>
      </c>
      <c r="G20" s="7">
        <f t="shared" si="8"/>
        <v>0.932860597757826</v>
      </c>
      <c r="H20" s="7">
        <f t="shared" si="8"/>
        <v>0.86984568599872</v>
      </c>
      <c r="I20" s="7">
        <f t="shared" si="8"/>
        <v>0.243804138532487</v>
      </c>
      <c r="J20" s="7">
        <f t="shared" si="8"/>
        <v>0.208485892715371</v>
      </c>
      <c r="K20" s="7">
        <f t="shared" si="8"/>
        <v>0.202371516863777</v>
      </c>
      <c r="L20" s="7">
        <f t="shared" si="8"/>
        <v>0.201552500234674</v>
      </c>
      <c r="M20" s="7">
        <f t="shared" si="8"/>
        <v>0.175568666896215</v>
      </c>
      <c r="N20" s="7">
        <f t="shared" si="8"/>
        <v>0.175522550844145</v>
      </c>
      <c r="O20" s="7">
        <f t="shared" si="8"/>
        <v>0.145945029465428</v>
      </c>
      <c r="P20" s="7">
        <f t="shared" si="8"/>
        <v>0.114543640505636</v>
      </c>
      <c r="Q20" s="7">
        <f t="shared" si="8"/>
        <v>0.0927868668790983</v>
      </c>
      <c r="R20" s="7">
        <f t="shared" si="8"/>
        <v>0.0280239451028278</v>
      </c>
      <c r="S20" s="7">
        <f t="shared" si="8"/>
        <v>0.0268654519512899</v>
      </c>
      <c r="T20" s="7">
        <f t="shared" si="8"/>
        <v>0.0259838333384592</v>
      </c>
      <c r="U20" s="7">
        <f t="shared" si="8"/>
        <v>0</v>
      </c>
    </row>
    <row r="21" s="1" customFormat="1" spans="1:21">
      <c r="A21" s="4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</row>
    <row r="22" s="1" customFormat="1" spans="1:21">
      <c r="A22" s="4"/>
      <c r="B22" s="1" t="s">
        <v>21</v>
      </c>
      <c r="D22" s="5">
        <v>0.003135</v>
      </c>
      <c r="E22" s="5">
        <v>1.649377</v>
      </c>
      <c r="F22" s="5">
        <v>2.55495</v>
      </c>
      <c r="G22" s="5">
        <v>0.529222</v>
      </c>
      <c r="H22" s="5">
        <v>4.903259</v>
      </c>
      <c r="I22" s="5">
        <v>35.974991</v>
      </c>
      <c r="J22" s="5">
        <v>3.020624</v>
      </c>
      <c r="K22" s="5">
        <v>0.529222</v>
      </c>
      <c r="L22" s="5">
        <v>0.476162</v>
      </c>
      <c r="M22" s="5">
        <v>1.448976</v>
      </c>
      <c r="N22" s="5">
        <v>0.003135</v>
      </c>
      <c r="O22" s="5">
        <v>1.649377</v>
      </c>
      <c r="P22" s="5">
        <v>2.55495</v>
      </c>
      <c r="Q22" s="5">
        <v>1.582202</v>
      </c>
      <c r="R22" s="5">
        <v>3.721551</v>
      </c>
      <c r="S22" s="5">
        <v>0.057049</v>
      </c>
      <c r="T22" s="5">
        <v>0.480418</v>
      </c>
      <c r="U22" s="5">
        <v>1.448976</v>
      </c>
    </row>
    <row r="23" s="1" customFormat="1" spans="1:21">
      <c r="A23" s="4"/>
      <c r="C23" s="8">
        <f>C57</f>
        <v>62.587576</v>
      </c>
      <c r="D23" s="5">
        <f>$C$57-D22</f>
        <v>62.584441</v>
      </c>
      <c r="E23" s="5">
        <f>D23-E22</f>
        <v>60.935064</v>
      </c>
      <c r="F23" s="5">
        <f t="shared" ref="F23:U23" si="9">E23-F22</f>
        <v>58.380114</v>
      </c>
      <c r="G23" s="5">
        <f t="shared" si="9"/>
        <v>57.850892</v>
      </c>
      <c r="H23" s="5">
        <f t="shared" si="9"/>
        <v>52.947633</v>
      </c>
      <c r="I23" s="5">
        <f t="shared" si="9"/>
        <v>16.972642</v>
      </c>
      <c r="J23" s="5">
        <f t="shared" si="9"/>
        <v>13.952018</v>
      </c>
      <c r="K23" s="5">
        <f t="shared" si="9"/>
        <v>13.422796</v>
      </c>
      <c r="L23" s="5">
        <f t="shared" si="9"/>
        <v>12.946634</v>
      </c>
      <c r="M23" s="5">
        <f t="shared" si="9"/>
        <v>11.497658</v>
      </c>
      <c r="N23" s="5">
        <f t="shared" si="9"/>
        <v>11.494523</v>
      </c>
      <c r="O23" s="5">
        <f t="shared" si="9"/>
        <v>9.84514600000001</v>
      </c>
      <c r="P23" s="5">
        <f t="shared" si="9"/>
        <v>7.29019600000001</v>
      </c>
      <c r="Q23" s="5">
        <f t="shared" si="9"/>
        <v>5.70799400000001</v>
      </c>
      <c r="R23" s="5">
        <f t="shared" si="9"/>
        <v>1.98644300000001</v>
      </c>
      <c r="S23" s="5">
        <f t="shared" si="9"/>
        <v>1.92939400000001</v>
      </c>
      <c r="T23" s="5">
        <f t="shared" si="9"/>
        <v>1.44897600000001</v>
      </c>
      <c r="U23" s="5">
        <f t="shared" si="9"/>
        <v>6.66133814775094e-15</v>
      </c>
    </row>
    <row r="24" s="1" customFormat="1" spans="1:21">
      <c r="A24" s="4"/>
      <c r="C24" s="6">
        <v>1</v>
      </c>
      <c r="D24" s="7">
        <f>D23/$C$57</f>
        <v>0.999949910186648</v>
      </c>
      <c r="E24" s="7">
        <f t="shared" ref="E24:U24" si="10">E23/$C$57</f>
        <v>0.973596804579874</v>
      </c>
      <c r="F24" s="7">
        <f t="shared" si="10"/>
        <v>0.932774805018811</v>
      </c>
      <c r="G24" s="7">
        <f t="shared" si="10"/>
        <v>0.924319101286172</v>
      </c>
      <c r="H24" s="7">
        <f t="shared" si="10"/>
        <v>0.845976731867679</v>
      </c>
      <c r="I24" s="7">
        <f t="shared" si="10"/>
        <v>0.271182287040482</v>
      </c>
      <c r="J24" s="7">
        <f t="shared" si="10"/>
        <v>0.222919929028726</v>
      </c>
      <c r="K24" s="7">
        <f t="shared" si="10"/>
        <v>0.214464225296088</v>
      </c>
      <c r="L24" s="7">
        <f t="shared" si="10"/>
        <v>0.206856293651635</v>
      </c>
      <c r="M24" s="7">
        <f t="shared" si="10"/>
        <v>0.183705117450147</v>
      </c>
      <c r="N24" s="7">
        <f t="shared" si="10"/>
        <v>0.183655027636795</v>
      </c>
      <c r="O24" s="7">
        <f t="shared" si="10"/>
        <v>0.157301922030021</v>
      </c>
      <c r="P24" s="7">
        <f t="shared" si="10"/>
        <v>0.116479922468958</v>
      </c>
      <c r="Q24" s="7">
        <f t="shared" si="10"/>
        <v>0.0912001129425432</v>
      </c>
      <c r="R24" s="7">
        <f t="shared" si="10"/>
        <v>0.0317386153443617</v>
      </c>
      <c r="S24" s="7">
        <f t="shared" si="10"/>
        <v>0.0308271085622489</v>
      </c>
      <c r="T24" s="7">
        <f t="shared" si="10"/>
        <v>0.0231511762014878</v>
      </c>
      <c r="U24" s="7">
        <f t="shared" si="10"/>
        <v>1.06432275756309e-16</v>
      </c>
    </row>
    <row r="25" s="1" customFormat="1" spans="1:21">
      <c r="A25" s="4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</row>
    <row r="26" s="1" customFormat="1" spans="1:21">
      <c r="A26" s="4"/>
      <c r="B26" s="1" t="s">
        <v>22</v>
      </c>
      <c r="D26" s="5">
        <v>0.004368</v>
      </c>
      <c r="E26" s="5">
        <v>1.958099</v>
      </c>
      <c r="F26" s="5">
        <v>3.106308</v>
      </c>
      <c r="G26" s="5">
        <v>0.648757</v>
      </c>
      <c r="H26" s="5">
        <v>6.62402</v>
      </c>
      <c r="I26" s="5">
        <v>62.858627</v>
      </c>
      <c r="J26" s="5">
        <v>4.000546</v>
      </c>
      <c r="K26" s="5">
        <v>0.648757</v>
      </c>
      <c r="L26" s="5">
        <v>0.209495</v>
      </c>
      <c r="M26" s="5">
        <v>1.720189</v>
      </c>
      <c r="N26" s="5">
        <v>0.004368</v>
      </c>
      <c r="O26" s="5">
        <v>1.958099</v>
      </c>
      <c r="P26" s="5">
        <v>3.106308</v>
      </c>
      <c r="Q26" s="5">
        <v>2.170028</v>
      </c>
      <c r="R26" s="5">
        <v>6.502617</v>
      </c>
      <c r="S26" s="5">
        <v>0.086804</v>
      </c>
      <c r="T26" s="5">
        <v>0.215425</v>
      </c>
      <c r="U26" s="5">
        <v>1.720189</v>
      </c>
    </row>
    <row r="27" customFormat="1" spans="1:21">
      <c r="A27" s="4"/>
      <c r="B27" s="2"/>
      <c r="C27" s="8">
        <f>C58</f>
        <v>97.543004</v>
      </c>
      <c r="D27" s="5">
        <f>$C$58-D26</f>
        <v>97.538636</v>
      </c>
      <c r="E27" s="5">
        <f>D27-E26</f>
        <v>95.580537</v>
      </c>
      <c r="F27" s="5">
        <f t="shared" ref="F27:U27" si="11">E27-F26</f>
        <v>92.474229</v>
      </c>
      <c r="G27" s="5">
        <f t="shared" si="11"/>
        <v>91.825472</v>
      </c>
      <c r="H27" s="5">
        <f t="shared" si="11"/>
        <v>85.201452</v>
      </c>
      <c r="I27" s="5">
        <f t="shared" si="11"/>
        <v>22.342825</v>
      </c>
      <c r="J27" s="5">
        <f t="shared" si="11"/>
        <v>18.342279</v>
      </c>
      <c r="K27" s="5">
        <f t="shared" si="11"/>
        <v>17.693522</v>
      </c>
      <c r="L27" s="5">
        <f t="shared" si="11"/>
        <v>17.484027</v>
      </c>
      <c r="M27" s="5">
        <f t="shared" si="11"/>
        <v>15.763838</v>
      </c>
      <c r="N27" s="5">
        <f t="shared" si="11"/>
        <v>15.75947</v>
      </c>
      <c r="O27" s="5">
        <f t="shared" si="11"/>
        <v>13.801371</v>
      </c>
      <c r="P27" s="5">
        <f t="shared" si="11"/>
        <v>10.695063</v>
      </c>
      <c r="Q27" s="5">
        <f t="shared" si="11"/>
        <v>8.525035</v>
      </c>
      <c r="R27" s="5">
        <f t="shared" si="11"/>
        <v>2.022418</v>
      </c>
      <c r="S27" s="5">
        <f t="shared" si="11"/>
        <v>1.935614</v>
      </c>
      <c r="T27" s="5">
        <f t="shared" si="11"/>
        <v>1.720189</v>
      </c>
      <c r="U27" s="5">
        <f t="shared" si="11"/>
        <v>4.44089209850063e-15</v>
      </c>
    </row>
    <row r="28" customFormat="1" spans="1:21">
      <c r="A28" s="4"/>
      <c r="B28" s="2"/>
      <c r="C28" s="6">
        <v>1</v>
      </c>
      <c r="D28" s="7">
        <f>D27/$C$58</f>
        <v>0.999955219751075</v>
      </c>
      <c r="E28" s="7">
        <f t="shared" ref="E28:U28" si="12">E27/$C$58</f>
        <v>0.979881007150446</v>
      </c>
      <c r="F28" s="7">
        <f t="shared" si="12"/>
        <v>0.948035483918457</v>
      </c>
      <c r="G28" s="7">
        <f t="shared" si="12"/>
        <v>0.941384499497268</v>
      </c>
      <c r="H28" s="7">
        <f t="shared" si="12"/>
        <v>0.873475785100898</v>
      </c>
      <c r="I28" s="7">
        <f t="shared" si="12"/>
        <v>0.229056150454419</v>
      </c>
      <c r="J28" s="7">
        <f t="shared" si="12"/>
        <v>0.188042998962796</v>
      </c>
      <c r="K28" s="7">
        <f t="shared" si="12"/>
        <v>0.181392014541607</v>
      </c>
      <c r="L28" s="7">
        <f t="shared" si="12"/>
        <v>0.179244295162368</v>
      </c>
      <c r="M28" s="7">
        <f t="shared" si="12"/>
        <v>0.161609109352425</v>
      </c>
      <c r="N28" s="7">
        <f t="shared" si="12"/>
        <v>0.1615643291035</v>
      </c>
      <c r="O28" s="7">
        <f t="shared" si="12"/>
        <v>0.141490116502871</v>
      </c>
      <c r="P28" s="7">
        <f t="shared" si="12"/>
        <v>0.109644593270882</v>
      </c>
      <c r="Q28" s="7">
        <f t="shared" si="12"/>
        <v>0.0873977081944288</v>
      </c>
      <c r="R28" s="7">
        <f t="shared" si="12"/>
        <v>0.0207336038164255</v>
      </c>
      <c r="S28" s="7">
        <f t="shared" si="12"/>
        <v>0.0198436988879285</v>
      </c>
      <c r="T28" s="7">
        <f t="shared" si="12"/>
        <v>0.0176351858099429</v>
      </c>
      <c r="U28" s="7">
        <f t="shared" si="12"/>
        <v>4.5527530590514e-17</v>
      </c>
    </row>
    <row r="29" customFormat="1" spans="1:21">
      <c r="A29" s="2"/>
      <c r="B29" s="2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</row>
    <row r="30" s="2" customFormat="1" spans="4:21"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</row>
    <row r="31" s="2" customFormat="1" ht="28.8" spans="2:21">
      <c r="B31" s="3" t="s">
        <v>26</v>
      </c>
      <c r="C31" s="2">
        <v>0</v>
      </c>
      <c r="D31" s="8">
        <v>30</v>
      </c>
      <c r="E31" s="8">
        <v>12</v>
      </c>
      <c r="F31" s="8">
        <v>30</v>
      </c>
      <c r="G31" s="8">
        <v>18</v>
      </c>
      <c r="H31" s="8">
        <v>144</v>
      </c>
      <c r="I31" s="8">
        <v>1143</v>
      </c>
      <c r="J31" s="8">
        <v>144</v>
      </c>
      <c r="K31" s="8">
        <v>18</v>
      </c>
      <c r="L31" s="8">
        <v>30</v>
      </c>
      <c r="M31" s="8">
        <v>12</v>
      </c>
      <c r="N31" s="8">
        <v>30</v>
      </c>
      <c r="O31" s="8">
        <v>12</v>
      </c>
      <c r="P31" s="8">
        <v>30</v>
      </c>
      <c r="Q31" s="8">
        <v>24</v>
      </c>
      <c r="R31" s="8">
        <v>81</v>
      </c>
      <c r="S31" s="8">
        <v>24</v>
      </c>
      <c r="T31" s="8">
        <v>30</v>
      </c>
      <c r="U31" s="8">
        <v>12</v>
      </c>
    </row>
    <row r="32" s="2" customFormat="1" spans="1:21">
      <c r="A32" s="4" t="s">
        <v>24</v>
      </c>
      <c r="B32" s="2" t="s">
        <v>20</v>
      </c>
      <c r="D32" s="5">
        <v>0.00414</v>
      </c>
      <c r="E32" s="5">
        <v>2.655278</v>
      </c>
      <c r="F32" s="5">
        <v>2.819013</v>
      </c>
      <c r="G32" s="5">
        <v>0.548909</v>
      </c>
      <c r="H32" s="5">
        <v>5.65707</v>
      </c>
      <c r="I32" s="5">
        <v>82.041926</v>
      </c>
      <c r="J32" s="5">
        <v>3.170643</v>
      </c>
      <c r="K32" s="5">
        <v>0.548909</v>
      </c>
      <c r="L32" s="5">
        <v>0.073526</v>
      </c>
      <c r="M32" s="5">
        <v>2.33266</v>
      </c>
      <c r="N32" s="5">
        <v>0.00414</v>
      </c>
      <c r="O32" s="5">
        <v>2.655278</v>
      </c>
      <c r="P32" s="5">
        <v>2.819013</v>
      </c>
      <c r="Q32" s="5">
        <v>1.953182</v>
      </c>
      <c r="R32" s="5">
        <v>5.813995</v>
      </c>
      <c r="S32" s="5">
        <v>0.104002</v>
      </c>
      <c r="T32" s="5">
        <v>0.079146</v>
      </c>
      <c r="U32" s="5">
        <v>2.33266</v>
      </c>
    </row>
    <row r="33" s="1" customFormat="1" spans="1:21">
      <c r="A33" s="4"/>
      <c r="C33" s="8">
        <f>C62</f>
        <v>115.61349</v>
      </c>
      <c r="D33" s="5">
        <f>$C$62-D32</f>
        <v>115.60935</v>
      </c>
      <c r="E33" s="5">
        <f>D33-E32</f>
        <v>112.954072</v>
      </c>
      <c r="F33" s="5">
        <f t="shared" ref="F33:U33" si="13">E33-F32</f>
        <v>110.135059</v>
      </c>
      <c r="G33" s="5">
        <f t="shared" si="13"/>
        <v>109.58615</v>
      </c>
      <c r="H33" s="5">
        <f t="shared" si="13"/>
        <v>103.92908</v>
      </c>
      <c r="I33" s="5">
        <f t="shared" si="13"/>
        <v>21.887154</v>
      </c>
      <c r="J33" s="5">
        <f t="shared" si="13"/>
        <v>18.716511</v>
      </c>
      <c r="K33" s="5">
        <f t="shared" si="13"/>
        <v>18.167602</v>
      </c>
      <c r="L33" s="5">
        <f t="shared" si="13"/>
        <v>18.094076</v>
      </c>
      <c r="M33" s="5">
        <f t="shared" si="13"/>
        <v>15.761416</v>
      </c>
      <c r="N33" s="5">
        <f t="shared" si="13"/>
        <v>15.757276</v>
      </c>
      <c r="O33" s="5">
        <f t="shared" si="13"/>
        <v>13.101998</v>
      </c>
      <c r="P33" s="5">
        <f t="shared" si="13"/>
        <v>10.282985</v>
      </c>
      <c r="Q33" s="5">
        <f t="shared" si="13"/>
        <v>8.329803</v>
      </c>
      <c r="R33" s="5">
        <f t="shared" si="13"/>
        <v>2.515808</v>
      </c>
      <c r="S33" s="5">
        <f t="shared" si="13"/>
        <v>2.411806</v>
      </c>
      <c r="T33" s="5">
        <f t="shared" si="13"/>
        <v>2.33266</v>
      </c>
      <c r="U33" s="5">
        <f t="shared" si="13"/>
        <v>0</v>
      </c>
    </row>
    <row r="34" s="1" customFormat="1" spans="1:21">
      <c r="A34" s="4"/>
      <c r="C34" s="6">
        <v>1</v>
      </c>
      <c r="D34" s="7">
        <f>D33/$C$62</f>
        <v>0.999964191029957</v>
      </c>
      <c r="E34" s="7">
        <f t="shared" ref="E34:U34" si="14">E33/$C$62</f>
        <v>0.976997338286389</v>
      </c>
      <c r="F34" s="7">
        <f t="shared" si="14"/>
        <v>0.952614258076631</v>
      </c>
      <c r="G34" s="7">
        <f t="shared" si="14"/>
        <v>0.947866464371934</v>
      </c>
      <c r="H34" s="7">
        <f t="shared" si="14"/>
        <v>0.898935582690221</v>
      </c>
      <c r="I34" s="7">
        <f t="shared" si="14"/>
        <v>0.189313150221484</v>
      </c>
      <c r="J34" s="7">
        <f t="shared" si="14"/>
        <v>0.161888642925665</v>
      </c>
      <c r="K34" s="7">
        <f t="shared" si="14"/>
        <v>0.157140849220969</v>
      </c>
      <c r="L34" s="7">
        <f t="shared" si="14"/>
        <v>0.156504885372806</v>
      </c>
      <c r="M34" s="7">
        <f t="shared" si="14"/>
        <v>0.136328520140686</v>
      </c>
      <c r="N34" s="7">
        <f t="shared" si="14"/>
        <v>0.136292711170643</v>
      </c>
      <c r="O34" s="7">
        <f t="shared" si="14"/>
        <v>0.113325858427075</v>
      </c>
      <c r="P34" s="7">
        <f t="shared" si="14"/>
        <v>0.088942778217317</v>
      </c>
      <c r="Q34" s="7">
        <f t="shared" si="14"/>
        <v>0.0720487116166115</v>
      </c>
      <c r="R34" s="7">
        <f t="shared" si="14"/>
        <v>0.0217605056295766</v>
      </c>
      <c r="S34" s="7">
        <f t="shared" si="14"/>
        <v>0.0208609393246411</v>
      </c>
      <c r="T34" s="7">
        <f t="shared" si="14"/>
        <v>0.0201763652321195</v>
      </c>
      <c r="U34" s="7">
        <f t="shared" si="14"/>
        <v>0</v>
      </c>
    </row>
    <row r="35" s="1" customFormat="1" spans="1:21">
      <c r="A35" s="4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</row>
    <row r="36" s="1" customFormat="1" spans="1:21">
      <c r="A36" s="4"/>
      <c r="B36" s="1" t="s">
        <v>21</v>
      </c>
      <c r="C36" s="2"/>
      <c r="D36" s="5">
        <v>0.003135</v>
      </c>
      <c r="E36" s="5">
        <v>1.649377</v>
      </c>
      <c r="F36" s="5">
        <v>2.55495</v>
      </c>
      <c r="G36" s="5">
        <v>0.529222</v>
      </c>
      <c r="H36" s="5">
        <v>4.903259</v>
      </c>
      <c r="I36" s="5">
        <v>52.515216</v>
      </c>
      <c r="J36" s="5">
        <v>3.020624</v>
      </c>
      <c r="K36" s="5">
        <v>0.529222</v>
      </c>
      <c r="L36" s="5">
        <v>0.476162</v>
      </c>
      <c r="M36" s="5">
        <v>1.448976</v>
      </c>
      <c r="N36" s="5">
        <v>0.003135</v>
      </c>
      <c r="O36" s="5">
        <v>1.649377</v>
      </c>
      <c r="P36" s="5">
        <v>2.55495</v>
      </c>
      <c r="Q36" s="5">
        <v>1.582202</v>
      </c>
      <c r="R36" s="5">
        <v>3.721551</v>
      </c>
      <c r="S36" s="5">
        <v>0.057049</v>
      </c>
      <c r="T36" s="5">
        <v>0.480418</v>
      </c>
      <c r="U36" s="5">
        <v>1.448976</v>
      </c>
    </row>
    <row r="37" s="1" customFormat="1" spans="1:21">
      <c r="A37" s="4"/>
      <c r="C37" s="8">
        <f>C63</f>
        <v>79.127801</v>
      </c>
      <c r="D37" s="5">
        <f>$C$63-D36</f>
        <v>79.124666</v>
      </c>
      <c r="E37" s="5">
        <f>D37-E36</f>
        <v>77.475289</v>
      </c>
      <c r="F37" s="5">
        <f t="shared" ref="F37:U37" si="15">E37-F36</f>
        <v>74.920339</v>
      </c>
      <c r="G37" s="5">
        <f t="shared" si="15"/>
        <v>74.391117</v>
      </c>
      <c r="H37" s="5">
        <f t="shared" si="15"/>
        <v>69.487858</v>
      </c>
      <c r="I37" s="5">
        <f t="shared" si="15"/>
        <v>16.972642</v>
      </c>
      <c r="J37" s="5">
        <f t="shared" si="15"/>
        <v>13.952018</v>
      </c>
      <c r="K37" s="5">
        <f t="shared" si="15"/>
        <v>13.422796</v>
      </c>
      <c r="L37" s="5">
        <f t="shared" si="15"/>
        <v>12.946634</v>
      </c>
      <c r="M37" s="5">
        <f t="shared" si="15"/>
        <v>11.497658</v>
      </c>
      <c r="N37" s="5">
        <f t="shared" si="15"/>
        <v>11.494523</v>
      </c>
      <c r="O37" s="5">
        <f t="shared" si="15"/>
        <v>9.845146</v>
      </c>
      <c r="P37" s="5">
        <f t="shared" si="15"/>
        <v>7.290196</v>
      </c>
      <c r="Q37" s="5">
        <f t="shared" si="15"/>
        <v>5.707994</v>
      </c>
      <c r="R37" s="5">
        <f t="shared" si="15"/>
        <v>1.986443</v>
      </c>
      <c r="S37" s="5">
        <f t="shared" si="15"/>
        <v>1.929394</v>
      </c>
      <c r="T37" s="5">
        <f t="shared" si="15"/>
        <v>1.448976</v>
      </c>
      <c r="U37" s="5">
        <f t="shared" si="15"/>
        <v>0</v>
      </c>
    </row>
    <row r="38" s="1" customFormat="1" spans="1:21">
      <c r="A38" s="4"/>
      <c r="C38" s="6">
        <v>1</v>
      </c>
      <c r="D38" s="7">
        <f>D37/$C$63</f>
        <v>0.999960380549435</v>
      </c>
      <c r="E38" s="7">
        <f t="shared" ref="E38:U38" si="16">E37/$C$63</f>
        <v>0.979115911486028</v>
      </c>
      <c r="F38" s="7">
        <f t="shared" si="16"/>
        <v>0.946827007109676</v>
      </c>
      <c r="G38" s="7">
        <f t="shared" si="16"/>
        <v>0.94013881416975</v>
      </c>
      <c r="H38" s="7">
        <f t="shared" si="16"/>
        <v>0.878172489590605</v>
      </c>
      <c r="I38" s="7">
        <f t="shared" si="16"/>
        <v>0.21449657118615</v>
      </c>
      <c r="J38" s="7">
        <f t="shared" si="16"/>
        <v>0.17632257972138</v>
      </c>
      <c r="K38" s="7">
        <f t="shared" si="16"/>
        <v>0.169634386781455</v>
      </c>
      <c r="L38" s="7">
        <f t="shared" si="16"/>
        <v>0.163616754622057</v>
      </c>
      <c r="M38" s="7">
        <f t="shared" si="16"/>
        <v>0.145304909964577</v>
      </c>
      <c r="N38" s="7">
        <f t="shared" si="16"/>
        <v>0.145265290514013</v>
      </c>
      <c r="O38" s="7">
        <f t="shared" si="16"/>
        <v>0.124420821450605</v>
      </c>
      <c r="P38" s="7">
        <f t="shared" si="16"/>
        <v>0.0921319170742531</v>
      </c>
      <c r="Q38" s="7">
        <f t="shared" si="16"/>
        <v>0.0721363911022878</v>
      </c>
      <c r="R38" s="7">
        <f t="shared" si="16"/>
        <v>0.0251042361205008</v>
      </c>
      <c r="S38" s="7">
        <f t="shared" si="16"/>
        <v>0.0243832632224924</v>
      </c>
      <c r="T38" s="7">
        <f t="shared" si="16"/>
        <v>0.0183118446574801</v>
      </c>
      <c r="U38" s="7">
        <f t="shared" si="16"/>
        <v>0</v>
      </c>
    </row>
    <row r="39" s="1" customFormat="1" spans="1:21">
      <c r="A39" s="4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</row>
    <row r="40" s="1" customFormat="1" spans="1:21">
      <c r="A40" s="4"/>
      <c r="B40" s="1" t="s">
        <v>22</v>
      </c>
      <c r="C40" s="2"/>
      <c r="D40" s="5">
        <v>0.004368</v>
      </c>
      <c r="E40" s="5">
        <v>1.958099</v>
      </c>
      <c r="F40" s="5">
        <v>3.106308</v>
      </c>
      <c r="G40" s="5">
        <v>0.648757</v>
      </c>
      <c r="H40" s="5">
        <v>6.62402</v>
      </c>
      <c r="I40" s="5">
        <v>91.759145</v>
      </c>
      <c r="J40" s="5">
        <v>4.000546</v>
      </c>
      <c r="K40" s="5">
        <v>0.648757</v>
      </c>
      <c r="L40" s="5">
        <v>0.209495</v>
      </c>
      <c r="M40" s="5">
        <v>1.720189</v>
      </c>
      <c r="N40" s="5">
        <v>0.004368</v>
      </c>
      <c r="O40" s="5">
        <v>1.958099</v>
      </c>
      <c r="P40" s="5">
        <v>3.106308</v>
      </c>
      <c r="Q40" s="5">
        <v>2.170028</v>
      </c>
      <c r="R40" s="5">
        <v>6.502617</v>
      </c>
      <c r="S40" s="5">
        <v>0.086804</v>
      </c>
      <c r="T40" s="5">
        <v>0.215425</v>
      </c>
      <c r="U40" s="5">
        <v>1.720189</v>
      </c>
    </row>
    <row r="41" customFormat="1" spans="1:21">
      <c r="A41" s="4"/>
      <c r="B41" s="2"/>
      <c r="C41" s="8">
        <f>C64</f>
        <v>126.443522</v>
      </c>
      <c r="D41" s="5">
        <f>$C$64-D40</f>
        <v>126.439154</v>
      </c>
      <c r="E41" s="5">
        <f>D41-E40</f>
        <v>124.481055</v>
      </c>
      <c r="F41" s="5">
        <f t="shared" ref="F41:U41" si="17">E41-F40</f>
        <v>121.374747</v>
      </c>
      <c r="G41" s="5">
        <f t="shared" si="17"/>
        <v>120.72599</v>
      </c>
      <c r="H41" s="5">
        <f t="shared" si="17"/>
        <v>114.10197</v>
      </c>
      <c r="I41" s="5">
        <f t="shared" si="17"/>
        <v>22.342825</v>
      </c>
      <c r="J41" s="5">
        <f t="shared" si="17"/>
        <v>18.342279</v>
      </c>
      <c r="K41" s="5">
        <f t="shared" si="17"/>
        <v>17.693522</v>
      </c>
      <c r="L41" s="5">
        <f t="shared" si="17"/>
        <v>17.484027</v>
      </c>
      <c r="M41" s="5">
        <f t="shared" si="17"/>
        <v>15.763838</v>
      </c>
      <c r="N41" s="5">
        <f t="shared" si="17"/>
        <v>15.75947</v>
      </c>
      <c r="O41" s="5">
        <f t="shared" si="17"/>
        <v>13.801371</v>
      </c>
      <c r="P41" s="5">
        <f t="shared" si="17"/>
        <v>10.695063</v>
      </c>
      <c r="Q41" s="5">
        <f t="shared" si="17"/>
        <v>8.525035</v>
      </c>
      <c r="R41" s="5">
        <f t="shared" si="17"/>
        <v>2.022418</v>
      </c>
      <c r="S41" s="5">
        <f t="shared" si="17"/>
        <v>1.935614</v>
      </c>
      <c r="T41" s="5">
        <f t="shared" si="17"/>
        <v>1.720189</v>
      </c>
      <c r="U41" s="5">
        <f t="shared" si="17"/>
        <v>4.44089209850063e-15</v>
      </c>
    </row>
    <row r="42" customFormat="1" spans="1:21">
      <c r="A42" s="4"/>
      <c r="B42" s="2"/>
      <c r="C42" s="6">
        <v>1</v>
      </c>
      <c r="D42" s="7">
        <f>D41/$C$64</f>
        <v>0.999965454932519</v>
      </c>
      <c r="E42" s="7">
        <f t="shared" ref="E42:U42" si="18">E41/$C$64</f>
        <v>0.984479497494541</v>
      </c>
      <c r="F42" s="7">
        <f t="shared" si="18"/>
        <v>0.959912734793958</v>
      </c>
      <c r="G42" s="7">
        <f t="shared" si="18"/>
        <v>0.954781930228106</v>
      </c>
      <c r="H42" s="7">
        <f t="shared" si="18"/>
        <v>0.902394746644276</v>
      </c>
      <c r="I42" s="7">
        <f t="shared" si="18"/>
        <v>0.176702014042285</v>
      </c>
      <c r="J42" s="7">
        <f t="shared" si="18"/>
        <v>0.145063018728631</v>
      </c>
      <c r="K42" s="7">
        <f t="shared" si="18"/>
        <v>0.139932214162779</v>
      </c>
      <c r="L42" s="7">
        <f t="shared" si="18"/>
        <v>0.138275387488811</v>
      </c>
      <c r="M42" s="7">
        <f t="shared" si="18"/>
        <v>0.12467098156282</v>
      </c>
      <c r="N42" s="7">
        <f t="shared" si="18"/>
        <v>0.124636436495339</v>
      </c>
      <c r="O42" s="7">
        <f t="shared" si="18"/>
        <v>0.109150479057361</v>
      </c>
      <c r="P42" s="7">
        <f t="shared" si="18"/>
        <v>0.0845837163567779</v>
      </c>
      <c r="Q42" s="7">
        <f t="shared" si="18"/>
        <v>0.0674216825437685</v>
      </c>
      <c r="R42" s="7">
        <f t="shared" si="18"/>
        <v>0.0159946351383664</v>
      </c>
      <c r="S42" s="7">
        <f t="shared" si="18"/>
        <v>0.0153081310088784</v>
      </c>
      <c r="T42" s="7">
        <f t="shared" si="18"/>
        <v>0.0136044059259912</v>
      </c>
      <c r="U42" s="7">
        <f t="shared" si="18"/>
        <v>3.51215469820639e-17</v>
      </c>
    </row>
    <row r="43" customFormat="1" spans="1:21">
      <c r="A43" s="2"/>
      <c r="B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9" spans="1:3">
      <c r="A49" s="4" t="s">
        <v>19</v>
      </c>
      <c r="C49" s="2" t="s">
        <v>25</v>
      </c>
    </row>
    <row r="50" spans="2:3">
      <c r="B50" s="2" t="s">
        <v>20</v>
      </c>
      <c r="C50" s="9">
        <v>63.933537</v>
      </c>
    </row>
    <row r="51" spans="2:3">
      <c r="B51" s="1" t="s">
        <v>21</v>
      </c>
      <c r="C51" s="8">
        <v>46.04735</v>
      </c>
    </row>
    <row r="52" spans="2:3">
      <c r="B52" s="1" t="s">
        <v>22</v>
      </c>
      <c r="C52" s="8">
        <v>68.642486</v>
      </c>
    </row>
    <row r="53" spans="3:3">
      <c r="C53" s="8"/>
    </row>
    <row r="54" spans="3:3">
      <c r="C54" s="8"/>
    </row>
    <row r="55" spans="3:3">
      <c r="C55" s="8" t="s">
        <v>25</v>
      </c>
    </row>
    <row r="56" spans="1:3">
      <c r="A56" s="4" t="s">
        <v>23</v>
      </c>
      <c r="B56" s="2" t="s">
        <v>20</v>
      </c>
      <c r="C56" s="8">
        <v>89.773513</v>
      </c>
    </row>
    <row r="57" spans="2:3">
      <c r="B57" s="1" t="s">
        <v>21</v>
      </c>
      <c r="C57" s="8">
        <v>62.587576</v>
      </c>
    </row>
    <row r="58" spans="2:3">
      <c r="B58" s="1" t="s">
        <v>22</v>
      </c>
      <c r="C58" s="8">
        <v>97.543004</v>
      </c>
    </row>
    <row r="59" spans="3:3">
      <c r="C59" s="8"/>
    </row>
    <row r="60" spans="3:3">
      <c r="C60" s="8"/>
    </row>
    <row r="61" spans="3:3">
      <c r="C61" s="8" t="s">
        <v>25</v>
      </c>
    </row>
    <row r="62" spans="1:3">
      <c r="A62" s="4" t="s">
        <v>24</v>
      </c>
      <c r="B62" s="2" t="s">
        <v>20</v>
      </c>
      <c r="C62" s="8">
        <v>115.61349</v>
      </c>
    </row>
    <row r="63" spans="2:3">
      <c r="B63" s="1" t="s">
        <v>21</v>
      </c>
      <c r="C63" s="8">
        <v>79.127801</v>
      </c>
    </row>
    <row r="64" spans="2:3">
      <c r="B64" s="1" t="s">
        <v>22</v>
      </c>
      <c r="C64" s="8">
        <v>126.443522</v>
      </c>
    </row>
    <row r="65" spans="4:4">
      <c r="D65" s="10"/>
    </row>
    <row r="66" spans="4:4">
      <c r="D66" s="10"/>
    </row>
  </sheetData>
  <mergeCells count="3">
    <mergeCell ref="A4:A14"/>
    <mergeCell ref="A18:A28"/>
    <mergeCell ref="A32:A42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1500 ft</vt:lpstr>
      <vt:lpstr>3000 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Khoa</cp:lastModifiedBy>
  <dcterms:created xsi:type="dcterms:W3CDTF">2025-07-21T09:59:00Z</dcterms:created>
  <dcterms:modified xsi:type="dcterms:W3CDTF">2025-11-11T20:51:12Z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7F0D986F09C54B05A6C596E0358D2797_12</vt:lpwstr>
  </property>
  <property fmtid="{D5CDD505-2E9C-101B-9397-08002B2CF9AE}" pid="3" name="KSOProductBuildVer">
    <vt:lpwstr>1033-12.2.0.23155</vt:lpwstr>
  </property>
</Properties>
</file>