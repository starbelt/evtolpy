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<sst xmlns="http://schemas.openxmlformats.org/spreadsheetml/2006/main" count="89" uniqueCount="22">
  <si>
    <t>Archer Midnight</t>
  </si>
  <si>
    <t>MTOW</t>
  </si>
  <si>
    <t>Empty Weight</t>
  </si>
  <si>
    <t>Battery Weight</t>
  </si>
  <si>
    <t>Payload
(kg)</t>
  </si>
  <si>
    <t>Battery Weight Fraction</t>
  </si>
  <si>
    <t>Total Mission Energy</t>
  </si>
  <si>
    <t>Altitude</t>
  </si>
  <si>
    <t>Mission Range</t>
  </si>
  <si>
    <t>Initial Guess
(kg)</t>
  </si>
  <si>
    <t>Final
(kg)</t>
  </si>
  <si>
    <t>% Difference</t>
  </si>
  <si>
    <t>Without Resizing
(kWh)</t>
  </si>
  <si>
    <t>With
Resizing
(kWh)</t>
  </si>
  <si>
    <t>1500 ft</t>
  </si>
  <si>
    <t>30 mi</t>
  </si>
  <si>
    <t>45 mi</t>
  </si>
  <si>
    <t>60 mi</t>
  </si>
  <si>
    <t>3000 ft</t>
  </si>
  <si>
    <t>Joby S4</t>
  </si>
  <si>
    <t>Supernal S-A2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</si>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</sst>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%"/>
    <numFmt numFmtId="180" formatCode="0.0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8" applyNumberFormat="0" applyAlignment="0" applyProtection="0">
      <alignment vertical="center"/>
    </xf>
    <xf numFmtId="0" fontId="12" fillId="8" borderId="19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9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179" fontId="0" fillId="3" borderId="7" xfId="3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78" fontId="0" fillId="3" borderId="4" xfId="0" applyNumberFormat="1" applyFill="1" applyBorder="1" applyAlignment="1">
      <alignment horizontal="center" vertical="center"/>
    </xf>
    <xf numFmtId="178" fontId="0" fillId="3" borderId="0" xfId="0" applyNumberFormat="1" applyFill="1" applyBorder="1" applyAlignment="1">
      <alignment horizontal="center" vertical="center"/>
    </xf>
    <xf numFmtId="179" fontId="0" fillId="3" borderId="5" xfId="3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9" fontId="0" fillId="0" borderId="5" xfId="3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9" fontId="0" fillId="0" borderId="10" xfId="3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 wrapText="1"/>
    </xf>
    <xf numFmtId="178" fontId="0" fillId="0" borderId="0" xfId="0" applyNumberFormat="1" applyFont="1" applyFill="1" applyBorder="1" applyAlignment="1">
      <alignment horizontal="center" vertical="center" wrapText="1"/>
    </xf>
    <xf numFmtId="178" fontId="0" fillId="0" borderId="5" xfId="0" applyNumberFormat="1" applyBorder="1" applyAlignment="1">
      <alignment horizontal="center" vertical="center" wrapText="1"/>
    </xf>
    <xf numFmtId="178" fontId="2" fillId="3" borderId="8" xfId="0" applyNumberFormat="1" applyFont="1" applyFill="1" applyBorder="1" applyAlignment="1">
      <alignment horizontal="center" vertical="center"/>
    </xf>
    <xf numFmtId="179" fontId="2" fillId="3" borderId="7" xfId="3" applyNumberFormat="1" applyFont="1" applyFill="1" applyBorder="1" applyAlignment="1">
      <alignment horizontal="center" vertical="center"/>
    </xf>
    <xf numFmtId="178" fontId="2" fillId="3" borderId="6" xfId="0" applyNumberFormat="1" applyFont="1" applyFill="1" applyBorder="1" applyAlignment="1">
      <alignment horizontal="center" vertical="center"/>
    </xf>
    <xf numFmtId="178" fontId="2" fillId="3" borderId="0" xfId="0" applyNumberFormat="1" applyFont="1" applyFill="1" applyBorder="1" applyAlignment="1">
      <alignment horizontal="center" vertical="center"/>
    </xf>
    <xf numFmtId="179" fontId="2" fillId="3" borderId="5" xfId="3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179" fontId="2" fillId="0" borderId="5" xfId="3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11" xfId="0" applyNumberFormat="1" applyFont="1" applyBorder="1" applyAlignment="1">
      <alignment horizontal="center" vertical="center"/>
    </xf>
    <xf numFmtId="179" fontId="2" fillId="0" borderId="10" xfId="3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9" fontId="0" fillId="3" borderId="6" xfId="3" applyFill="1" applyBorder="1" applyAlignment="1">
      <alignment horizontal="center" vertical="center"/>
    </xf>
    <xf numFmtId="180" fontId="0" fillId="3" borderId="6" xfId="0" applyNumberFormat="1" applyFill="1" applyBorder="1" applyAlignment="1">
      <alignment horizontal="center" vertical="center"/>
    </xf>
    <xf numFmtId="180" fontId="0" fillId="3" borderId="8" xfId="0" applyNumberFormat="1" applyFill="1" applyBorder="1" applyAlignment="1">
      <alignment horizontal="center" vertical="center"/>
    </xf>
    <xf numFmtId="9" fontId="0" fillId="3" borderId="4" xfId="3" applyFill="1" applyBorder="1" applyAlignment="1">
      <alignment horizontal="center" vertical="center"/>
    </xf>
    <xf numFmtId="180" fontId="0" fillId="3" borderId="4" xfId="0" applyNumberFormat="1" applyFill="1" applyBorder="1" applyAlignment="1">
      <alignment horizontal="center" vertical="center"/>
    </xf>
    <xf numFmtId="180" fontId="0" fillId="3" borderId="0" xfId="0" applyNumberFormat="1" applyFill="1" applyBorder="1" applyAlignment="1">
      <alignment horizontal="center" vertical="center"/>
    </xf>
    <xf numFmtId="9" fontId="0" fillId="0" borderId="4" xfId="3" applyFill="1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9" fontId="0" fillId="0" borderId="9" xfId="3" applyFill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9" fontId="0" fillId="3" borderId="12" xfId="3" applyFill="1" applyBorder="1" applyAlignment="1">
      <alignment horizontal="center" vertical="center"/>
    </xf>
    <xf numFmtId="9" fontId="0" fillId="3" borderId="14" xfId="3" applyFill="1" applyBorder="1" applyAlignment="1">
      <alignment horizontal="center" vertical="center"/>
    </xf>
    <xf numFmtId="9" fontId="0" fillId="0" borderId="14" xfId="3" applyFill="1" applyBorder="1" applyAlignment="1">
      <alignment horizontal="center" vertical="center"/>
    </xf>
    <xf numFmtId="9" fontId="0" fillId="0" borderId="13" xfId="3" applyFill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 wrapText="1"/>
    </xf>
    <xf numFmtId="178" fontId="0" fillId="0" borderId="8" xfId="0" applyNumberFormat="1" applyFont="1" applyFill="1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9" fontId="2" fillId="3" borderId="12" xfId="3" applyFont="1" applyFill="1" applyBorder="1" applyAlignment="1">
      <alignment horizontal="center" vertical="center"/>
    </xf>
    <xf numFmtId="180" fontId="2" fillId="3" borderId="6" xfId="0" applyNumberFormat="1" applyFont="1" applyFill="1" applyBorder="1" applyAlignment="1">
      <alignment horizontal="center" vertical="center"/>
    </xf>
    <xf numFmtId="180" fontId="2" fillId="3" borderId="8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9" fontId="2" fillId="3" borderId="14" xfId="3" applyFont="1" applyFill="1" applyBorder="1" applyAlignment="1">
      <alignment horizontal="center" vertical="center"/>
    </xf>
    <xf numFmtId="180" fontId="2" fillId="3" borderId="4" xfId="0" applyNumberFormat="1" applyFont="1" applyFill="1" applyBorder="1" applyAlignment="1">
      <alignment horizontal="center" vertical="center"/>
    </xf>
    <xf numFmtId="180" fontId="2" fillId="3" borderId="0" xfId="0" applyNumberFormat="1" applyFont="1" applyFill="1" applyBorder="1" applyAlignment="1">
      <alignment horizontal="center" vertical="center"/>
    </xf>
    <xf numFmtId="178" fontId="2" fillId="3" borderId="5" xfId="0" applyNumberFormat="1" applyFont="1" applyFill="1" applyBorder="1" applyAlignment="1">
      <alignment horizontal="center" vertical="center"/>
    </xf>
    <xf numFmtId="9" fontId="2" fillId="0" borderId="14" xfId="3" applyFont="1" applyFill="1" applyBorder="1" applyAlignment="1">
      <alignment horizontal="center" vertical="center"/>
    </xf>
    <xf numFmtId="180" fontId="2" fillId="0" borderId="4" xfId="0" applyNumberFormat="1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8" fontId="2" fillId="0" borderId="10" xfId="0" applyNumberFormat="1" applyFont="1" applyBorder="1" applyAlignment="1">
      <alignment horizontal="center" vertical="center"/>
    </xf>
    <xf numFmtId="180" fontId="2" fillId="0" borderId="9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Converged MTOW vs. Mission Range: 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Archer Midnight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"1500 ft"</c:f>
              <c:strCache>
                <c:ptCount val="1"/>
                <c:pt idx="0">
                  <c:v>1500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All!$D$3:$D$5</c:f>
              <c:numCache>
                <c:formatCode>0.0_ </c:formatCode>
                <c:ptCount val="3"/>
                <c:pt idx="0">
                  <c:v>1995.814096</c:v>
                </c:pt>
                <c:pt idx="1">
                  <c:v>2231.785148</c:v>
                </c:pt>
                <c:pt idx="2">
                  <c:v>2504.897799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"3000 ft"</c:f>
              <c:strCache>
                <c:ptCount val="1"/>
                <c:pt idx="0">
                  <c:v>3000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All!$D$6:$D$8</c:f>
              <c:numCache>
                <c:formatCode>0.0_ </c:formatCode>
                <c:ptCount val="3"/>
                <c:pt idx="0">
                  <c:v>1950.117552</c:v>
                </c:pt>
                <c:pt idx="1">
                  <c:v>2180.522794</c:v>
                </c:pt>
                <c:pt idx="2">
                  <c:v>2448.444514</c:v>
                </c:pt>
              </c:numCache>
            </c:numRef>
          </c:val>
          <c:smooth val="0"/>
        </c:ser>
        <c:ser>
          <c:idx val="2"/>
          <c:order val="2"/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  <a:sp3d contourW="19050"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rgbClr val="FF0000"/>
                        </a:solidFill>
                      </a:rPr>
                      <a:t>3175.0</a:t>
                    </a:r>
                    <a:endParaRPr>
                      <a:solidFill>
                        <a:srgbClr val="FF0000"/>
                      </a:solid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0431547461107277"/>
                  <c:y val="0.00042264443048715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rgbClr val="FF0000"/>
                        </a:solidFill>
                      </a:rPr>
                      <a:t>Initial Guess MTOW</a:t>
                    </a:r>
                    <a:endParaRPr>
                      <a:solidFill>
                        <a:srgbClr val="FF0000"/>
                      </a:solid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All!$C$3:$C$5</c:f>
              <c:numCache>
                <c:formatCode>0.0_ </c:formatCode>
                <c:ptCount val="3"/>
                <c:pt idx="0">
                  <c:v>3175</c:v>
                </c:pt>
                <c:pt idx="1">
                  <c:v>3175</c:v>
                </c:pt>
                <c:pt idx="2">
                  <c:v>3175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57224400"/>
        <c:axId val="766602742"/>
      </c:lineChart>
      <c:catAx>
        <c:axId val="7572244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Mission Range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426144140290847"/>
              <c:y val="0.81812366737739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602742"/>
        <c:crosses val="autoZero"/>
        <c:auto val="1"/>
        <c:lblAlgn val="ctr"/>
        <c:lblOffset val="100"/>
        <c:noMultiLvlLbl val="0"/>
      </c:catAx>
      <c:valAx>
        <c:axId val="7666027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Converged MTOW (kg)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0145423438836612"/>
              <c:y val="0.2475856821501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22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44b227-a188-472c-8a21-ec7b862a52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Converged MTOW vs. Mission Range: 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Joby S4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"1500 ft"</c:f>
              <c:strCache>
                <c:ptCount val="1"/>
                <c:pt idx="0">
                  <c:v>1500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93209302325581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277510940335148"/>
                  <c:y val="0.1099534883720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402390863485964"/>
                  <c:y val="0.024372093023255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All!$D$12:$D$14</c:f>
              <c:numCache>
                <c:formatCode>0.0_ </c:formatCode>
                <c:ptCount val="3"/>
                <c:pt idx="0">
                  <c:v>2159.26233</c:v>
                </c:pt>
                <c:pt idx="1">
                  <c:v>2442.374331</c:v>
                </c:pt>
                <c:pt idx="2">
                  <c:v>2909.020802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"3000 ft"</c:f>
              <c:strCache>
                <c:ptCount val="1"/>
                <c:pt idx="0">
                  <c:v>3000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All!$D$15:$D$17</c:f>
              <c:numCache>
                <c:formatCode>0.0_ </c:formatCode>
                <c:ptCount val="3"/>
                <c:pt idx="0">
                  <c:v>2190.79895</c:v>
                </c:pt>
                <c:pt idx="1">
                  <c:v>2515.651697</c:v>
                </c:pt>
                <c:pt idx="2">
                  <c:v>3217.608226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"="</c:f>
              <c:strCache>
                <c:ptCount val="1"/>
                <c:pt idx="0">
                  <c:v>=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  <a:sp3d contourW="19050"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layout>
                <c:manualLayout>
                  <c:x val="0"/>
                  <c:y val="0.0114729829755736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rgbClr val="FF0000"/>
                        </a:solidFill>
                      </a:rPr>
                      <a:t>2404.0</a:t>
                    </a:r>
                    <a:endParaRPr>
                      <a:solidFill>
                        <a:srgbClr val="FF0000"/>
                      </a:solidFill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All!$C$12:$C$14</c:f>
              <c:numCache>
                <c:formatCode>0.0_ </c:formatCode>
                <c:ptCount val="3"/>
                <c:pt idx="0">
                  <c:v>2404</c:v>
                </c:pt>
                <c:pt idx="1">
                  <c:v>2404</c:v>
                </c:pt>
                <c:pt idx="2">
                  <c:v>2404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57224400"/>
        <c:axId val="766602742"/>
      </c:lineChart>
      <c:catAx>
        <c:axId val="7572244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Mission Range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426144140290847"/>
              <c:y val="0.81812366737739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602742"/>
        <c:crosses val="autoZero"/>
        <c:auto val="1"/>
        <c:lblAlgn val="ctr"/>
        <c:lblOffset val="100"/>
        <c:noMultiLvlLbl val="0"/>
      </c:catAx>
      <c:valAx>
        <c:axId val="7666027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Converged MTOW (kg)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0130486919045724"/>
              <c:y val="0.2502491393172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22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138103-58dd-457f-a3b0-ba3efa4712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Converged MTOW vs. Mission Range: 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Supernal A-S2</a:t>
            </a:r>
          </a:p>
        </c:rich>
      </c:tx>
      <c:layout>
        <c:manualLayout>
          <c:xMode val="edge"/>
          <c:yMode val="edge"/>
          <c:x val="0.296916675557452"/>
          <c:y val="0.0252734817050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"1500 ft"</c:f>
              <c:strCache>
                <c:ptCount val="1"/>
                <c:pt idx="0">
                  <c:v>1500 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0.0408148209869491"/>
                  <c:y val="0.01985682276818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All!$D$21:$D$23</c:f>
              <c:numCache>
                <c:formatCode>0.0_ </c:formatCode>
                <c:ptCount val="3"/>
                <c:pt idx="0">
                  <c:v>2357.737606</c:v>
                </c:pt>
                <c:pt idx="1">
                  <c:v>2675.686272</c:v>
                </c:pt>
                <c:pt idx="2">
                  <c:v>3080.453876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"3000 ft"</c:f>
              <c:strCache>
                <c:ptCount val="1"/>
                <c:pt idx="0">
                  <c:v>3000 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624546990127725"/>
                  <c:y val="-0.0147532107013209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236018471010775"/>
                  <c:y val="-0.0189504373177843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All!$D$24:$D$26</c:f>
              <c:numCache>
                <c:formatCode>0.0_ </c:formatCode>
                <c:ptCount val="3"/>
                <c:pt idx="0">
                  <c:v>2305.662891</c:v>
                </c:pt>
                <c:pt idx="1">
                  <c:v>2613.470211</c:v>
                </c:pt>
                <c:pt idx="2">
                  <c:v>3008.032898</c:v>
                </c:pt>
              </c:numCache>
            </c:numRef>
          </c:val>
          <c:smooth val="0"/>
        </c:ser>
        <c:ser>
          <c:idx val="2"/>
          <c:order val="2"/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  <a:sp3d contourW="19050"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layout>
                <c:manualLayout>
                  <c:x val="-0.0321164757520608"/>
                  <c:y val="-0.0332717190388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38539770902473"/>
                  <c:y val="-0.051016635859519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rgbClr val="FF0000"/>
                        </a:solidFill>
                      </a:rPr>
                      <a:t>Initial Guess MTOW</a:t>
                    </a:r>
                    <a:endParaRPr>
                      <a:solidFill>
                        <a:srgbClr val="FF0000"/>
                      </a:solidFill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All!$B$3:$B$5</c:f>
              <c:strCache>
                <c:ptCount val="3"/>
                <c:pt idx="0">
                  <c:v>30 mi</c:v>
                </c:pt>
                <c:pt idx="1">
                  <c:v>45 mi</c:v>
                </c:pt>
                <c:pt idx="2">
                  <c:v>60 mi</c:v>
                </c:pt>
              </c:strCache>
            </c:strRef>
          </c:cat>
          <c:val>
            <c:numRef>
              <c:f>All!$C$21:$C$23</c:f>
              <c:numCache>
                <c:formatCode>0.0_ </c:formatCode>
                <c:ptCount val="3"/>
                <c:pt idx="0">
                  <c:v>3350</c:v>
                </c:pt>
                <c:pt idx="1">
                  <c:v>3350</c:v>
                </c:pt>
                <c:pt idx="2">
                  <c:v>3350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57224400"/>
        <c:axId val="766602742"/>
      </c:lineChart>
      <c:catAx>
        <c:axId val="7572244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Mission Range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426144140290847"/>
              <c:y val="0.81812366737739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602742"/>
        <c:crosses val="autoZero"/>
        <c:auto val="1"/>
        <c:lblAlgn val="ctr"/>
        <c:lblOffset val="100"/>
        <c:noMultiLvlLbl val="0"/>
      </c:catAx>
      <c:valAx>
        <c:axId val="7666027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Converged MTOW (kg)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0145423438836612"/>
              <c:y val="0.2398272112381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22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138103-58dd-457f-a3b0-ba3efa4712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252095</xdr:colOff>
      <xdr:row>0</xdr:row>
      <xdr:rowOff>133350</xdr:rowOff>
    </xdr:from>
    <xdr:to>
      <xdr:col>27</xdr:col>
      <xdr:colOff>18415</xdr:colOff>
      <xdr:row>10</xdr:row>
      <xdr:rowOff>413385</xdr:rowOff>
    </xdr:to>
    <xdr:graphicFrame>
      <xdr:nvGraphicFramePr>
        <xdr:cNvPr id="3" name="Chart 2"/>
        <xdr:cNvGraphicFramePr/>
      </xdr:nvGraphicFramePr>
      <xdr:xfrm>
        <a:off x="13206095" y="133350"/>
        <a:ext cx="5938520" cy="3434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281940</xdr:colOff>
      <xdr:row>11</xdr:row>
      <xdr:rowOff>120015</xdr:rowOff>
    </xdr:from>
    <xdr:to>
      <xdr:col>27</xdr:col>
      <xdr:colOff>48260</xdr:colOff>
      <xdr:row>24</xdr:row>
      <xdr:rowOff>62230</xdr:rowOff>
    </xdr:to>
    <xdr:graphicFrame>
      <xdr:nvGraphicFramePr>
        <xdr:cNvPr id="4" name="Chart 3"/>
        <xdr:cNvGraphicFramePr/>
      </xdr:nvGraphicFramePr>
      <xdr:xfrm>
        <a:off x="13235940" y="3909695"/>
        <a:ext cx="5938520" cy="3429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264160</xdr:colOff>
      <xdr:row>26</xdr:row>
      <xdr:rowOff>13970</xdr:rowOff>
    </xdr:from>
    <xdr:to>
      <xdr:col>27</xdr:col>
      <xdr:colOff>23495</xdr:colOff>
      <xdr:row>44</xdr:row>
      <xdr:rowOff>157480</xdr:rowOff>
    </xdr:to>
    <xdr:graphicFrame>
      <xdr:nvGraphicFramePr>
        <xdr:cNvPr id="5" name="Chart 4"/>
        <xdr:cNvGraphicFramePr/>
      </xdr:nvGraphicFramePr>
      <xdr:xfrm>
        <a:off x="13218160" y="7656830"/>
        <a:ext cx="5931535" cy="343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0.781875142258161</cdr:x>
      <cdr:y>0.39708736019313</cdr:y>
    </cdr:from>
    <cdr:to>
      <cdr:x>0.992113977001655</cdr:x>
      <cdr:y>0.457916853280688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4635237" y="1363630"/>
          <a:ext cx="1246371" cy="208893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en-US" sz="1000">
              <a:solidFill>
                <a:srgbClr val="FF0000"/>
              </a:solidFill>
            </a:rPr>
            <a:t>Initial Guess MTOW</a:t>
          </a:r>
          <a:endParaRPr lang="en-US" sz="1000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zoomScale="70" zoomScaleNormal="70" workbookViewId="0">
      <selection activeCell="N33" sqref="N33"/>
    </sheetView>
  </sheetViews>
  <sheetFormatPr defaultColWidth="9" defaultRowHeight="14.4"/>
  <cols>
    <col min="1" max="1" width="10.7777777777778" style="2" customWidth="1"/>
    <col min="2" max="2" width="15.7777777777778" style="2" customWidth="1"/>
    <col min="3" max="11" width="12.7777777777778" style="2" customWidth="1"/>
    <col min="12" max="13" width="12.7777777777778" style="2" hidden="1" customWidth="1"/>
    <col min="14" max="16" width="12.7777777777778" style="2" customWidth="1"/>
    <col min="17" max="16383" width="9" style="2"/>
  </cols>
  <sheetData>
    <row r="1" ht="31" customHeight="1" spans="1:16">
      <c r="A1" s="3" t="s">
        <v>0</v>
      </c>
      <c r="B1" s="4"/>
      <c r="C1" s="5" t="s">
        <v>1</v>
      </c>
      <c r="D1" s="6"/>
      <c r="E1" s="7"/>
      <c r="F1" s="5" t="s">
        <v>2</v>
      </c>
      <c r="G1" s="6"/>
      <c r="H1" s="7"/>
      <c r="I1" s="5" t="s">
        <v>3</v>
      </c>
      <c r="J1" s="6"/>
      <c r="K1" s="7"/>
      <c r="L1" s="50" t="s">
        <v>4</v>
      </c>
      <c r="M1" s="51" t="s">
        <v>5</v>
      </c>
      <c r="N1" s="52" t="s">
        <v>6</v>
      </c>
      <c r="O1" s="53"/>
      <c r="P1" s="54"/>
    </row>
    <row r="2" s="1" customFormat="1" ht="50" customHeight="1" spans="1:16">
      <c r="A2" s="8" t="s">
        <v>7</v>
      </c>
      <c r="B2" s="9" t="s">
        <v>8</v>
      </c>
      <c r="C2" s="8" t="s">
        <v>9</v>
      </c>
      <c r="D2" s="10" t="s">
        <v>10</v>
      </c>
      <c r="E2" s="9" t="s">
        <v>11</v>
      </c>
      <c r="F2" s="8" t="s">
        <v>9</v>
      </c>
      <c r="G2" s="10" t="s">
        <v>10</v>
      </c>
      <c r="H2" s="9" t="s">
        <v>11</v>
      </c>
      <c r="I2" s="8" t="s">
        <v>9</v>
      </c>
      <c r="J2" s="10" t="s">
        <v>10</v>
      </c>
      <c r="K2" s="9" t="s">
        <v>11</v>
      </c>
      <c r="L2" s="9"/>
      <c r="M2" s="55"/>
      <c r="N2" s="56" t="s">
        <v>12</v>
      </c>
      <c r="O2" s="57" t="s">
        <v>13</v>
      </c>
      <c r="P2" s="58" t="s">
        <v>11</v>
      </c>
    </row>
    <row r="3" spans="1:16">
      <c r="A3" s="11" t="s">
        <v>14</v>
      </c>
      <c r="B3" s="12" t="s">
        <v>15</v>
      </c>
      <c r="C3" s="13">
        <v>3175</v>
      </c>
      <c r="D3" s="14">
        <v>1995.814096</v>
      </c>
      <c r="E3" s="15">
        <f>($C$3-D3)/$C$3</f>
        <v>0.37139713511811</v>
      </c>
      <c r="F3" s="13">
        <v>1702.792913</v>
      </c>
      <c r="G3" s="14">
        <v>1255.454475</v>
      </c>
      <c r="H3" s="15">
        <f>($F$3-G3)/$F$3</f>
        <v>0.262708656222837</v>
      </c>
      <c r="I3" s="13">
        <v>402.070314</v>
      </c>
      <c r="J3" s="14">
        <v>286.359621</v>
      </c>
      <c r="K3" s="15">
        <f t="shared" ref="K3:K8" si="0">(I3-J3)/I3</f>
        <v>0.287787207786745</v>
      </c>
      <c r="L3" s="59">
        <v>454</v>
      </c>
      <c r="M3" s="60">
        <f>J3/D3</f>
        <v>0.143480107477906</v>
      </c>
      <c r="N3" s="61">
        <v>65.949583</v>
      </c>
      <c r="O3" s="62">
        <v>46.970137</v>
      </c>
      <c r="P3" s="15">
        <f>(N3-O3)/N3</f>
        <v>0.287787202536216</v>
      </c>
    </row>
    <row r="4" spans="1:16">
      <c r="A4" s="16"/>
      <c r="B4" s="17" t="s">
        <v>16</v>
      </c>
      <c r="C4" s="18">
        <v>3175</v>
      </c>
      <c r="D4" s="19">
        <v>2231.785148</v>
      </c>
      <c r="E4" s="20">
        <f>($C$3-D4)/$C$3</f>
        <v>0.297075543937008</v>
      </c>
      <c r="F4" s="18"/>
      <c r="G4" s="19">
        <v>1340.735941</v>
      </c>
      <c r="H4" s="20">
        <f>($F$3-G4)/$F$3</f>
        <v>0.212625369318765</v>
      </c>
      <c r="I4" s="18">
        <v>563.165574</v>
      </c>
      <c r="J4" s="19">
        <v>437.049207</v>
      </c>
      <c r="K4" s="20">
        <f t="shared" si="0"/>
        <v>0.223941897059212</v>
      </c>
      <c r="L4" s="22"/>
      <c r="M4" s="63">
        <f>J4/D4</f>
        <v>0.195829427125482</v>
      </c>
      <c r="N4" s="64">
        <v>92.373233</v>
      </c>
      <c r="O4" s="65">
        <v>71.686996</v>
      </c>
      <c r="P4" s="20">
        <f>(N4-O4)/N4</f>
        <v>0.223941896674765</v>
      </c>
    </row>
    <row r="5" spans="1:16">
      <c r="A5" s="16"/>
      <c r="B5" s="17" t="s">
        <v>17</v>
      </c>
      <c r="C5" s="18">
        <v>3175</v>
      </c>
      <c r="D5" s="19">
        <v>2504.897799</v>
      </c>
      <c r="E5" s="20">
        <f>($C$3-D5)/$C$3</f>
        <v>0.211055811338583</v>
      </c>
      <c r="F5" s="18"/>
      <c r="G5" s="19">
        <v>1442.020146</v>
      </c>
      <c r="H5" s="20">
        <f>($F$3-G5)/$F$3</f>
        <v>0.15314414630759</v>
      </c>
      <c r="I5" s="18">
        <v>724.260835</v>
      </c>
      <c r="J5" s="19">
        <v>608.877653</v>
      </c>
      <c r="K5" s="20">
        <f t="shared" si="0"/>
        <v>0.159311640812388</v>
      </c>
      <c r="L5" s="22"/>
      <c r="M5" s="63">
        <f>J5/D5</f>
        <v>0.243074848500037</v>
      </c>
      <c r="N5" s="64">
        <v>118.796883</v>
      </c>
      <c r="O5" s="65">
        <v>99.871157</v>
      </c>
      <c r="P5" s="20">
        <f>(N5-O5)/N5</f>
        <v>0.15931163783144</v>
      </c>
    </row>
    <row r="6" spans="1:16">
      <c r="A6" s="21" t="s">
        <v>18</v>
      </c>
      <c r="B6" s="22" t="s">
        <v>15</v>
      </c>
      <c r="C6" s="23"/>
      <c r="D6" s="24">
        <v>1950.117552</v>
      </c>
      <c r="E6" s="25">
        <f>($C$3-D6)/$C$3</f>
        <v>0.385789747401575</v>
      </c>
      <c r="F6" s="23">
        <v>1710.074299</v>
      </c>
      <c r="G6" s="24">
        <v>1243.082552</v>
      </c>
      <c r="H6" s="25">
        <f>($F$6-G6)/$F$3</f>
        <v>0.274250464301762</v>
      </c>
      <c r="I6" s="23">
        <v>389.779215</v>
      </c>
      <c r="J6" s="24">
        <v>253.035</v>
      </c>
      <c r="K6" s="25">
        <f t="shared" si="0"/>
        <v>0.350824799624064</v>
      </c>
      <c r="L6" s="22"/>
      <c r="M6" s="66">
        <f>J6/D6</f>
        <v>0.129753716508265</v>
      </c>
      <c r="N6" s="67">
        <v>63.933536</v>
      </c>
      <c r="O6" s="68">
        <v>41.504066</v>
      </c>
      <c r="P6" s="25">
        <f>(N6-O6)/N6</f>
        <v>0.350824800305117</v>
      </c>
    </row>
    <row r="7" spans="1:16">
      <c r="A7" s="21"/>
      <c r="B7" s="22" t="s">
        <v>16</v>
      </c>
      <c r="C7" s="23"/>
      <c r="D7" s="24">
        <v>2180.522794</v>
      </c>
      <c r="E7" s="25">
        <f>($C$3-D7)/$C$3</f>
        <v>0.313221167244094</v>
      </c>
      <c r="F7" s="23"/>
      <c r="G7" s="24">
        <v>1326.533518</v>
      </c>
      <c r="H7" s="25">
        <f>($F$6-G7)/$F$3</f>
        <v>0.22524217599912</v>
      </c>
      <c r="I7" s="23">
        <v>547.316034</v>
      </c>
      <c r="J7" s="24">
        <v>399.989276</v>
      </c>
      <c r="K7" s="25">
        <f t="shared" si="0"/>
        <v>0.269180416519645</v>
      </c>
      <c r="L7" s="22"/>
      <c r="M7" s="66">
        <f t="shared" ref="M7:M17" si="1">J7/D7</f>
        <v>0.183437328470321</v>
      </c>
      <c r="N7" s="67">
        <v>89.773512</v>
      </c>
      <c r="O7" s="68">
        <v>65.608241</v>
      </c>
      <c r="P7" s="25">
        <f t="shared" ref="P7:P15" si="2">(N7-O7)/N7</f>
        <v>0.269180412592079</v>
      </c>
    </row>
    <row r="8" spans="1:16">
      <c r="A8" s="26"/>
      <c r="B8" s="27" t="s">
        <v>17</v>
      </c>
      <c r="C8" s="28"/>
      <c r="D8" s="29">
        <v>2448.444514</v>
      </c>
      <c r="E8" s="30">
        <f>($C$3-D8)/$C$3</f>
        <v>0.228836373543307</v>
      </c>
      <c r="F8" s="28"/>
      <c r="G8" s="29">
        <v>1426.057893</v>
      </c>
      <c r="H8" s="30">
        <f>($F$6-G8)/$F$3</f>
        <v>0.166794449185026</v>
      </c>
      <c r="I8" s="28">
        <v>704.852852</v>
      </c>
      <c r="J8" s="29">
        <v>568.386621</v>
      </c>
      <c r="K8" s="30">
        <f t="shared" si="0"/>
        <v>0.193609532277242</v>
      </c>
      <c r="L8" s="27"/>
      <c r="M8" s="69">
        <f t="shared" si="1"/>
        <v>0.232141924291122</v>
      </c>
      <c r="N8" s="70">
        <v>115.613489</v>
      </c>
      <c r="O8" s="71">
        <v>93.229616</v>
      </c>
      <c r="P8" s="30">
        <f t="shared" si="2"/>
        <v>0.193609527691012</v>
      </c>
    </row>
    <row r="9" ht="50" customHeight="1" spans="3:15">
      <c r="C9" s="31"/>
      <c r="D9" s="31"/>
      <c r="E9" s="31"/>
      <c r="F9" s="31"/>
      <c r="G9" s="31"/>
      <c r="H9" s="31"/>
      <c r="I9" s="31"/>
      <c r="J9" s="31"/>
      <c r="K9" s="31"/>
      <c r="N9" s="72"/>
      <c r="O9" s="72"/>
    </row>
    <row r="10" ht="31" customHeight="1" spans="1:16">
      <c r="A10" s="3" t="s">
        <v>19</v>
      </c>
      <c r="B10" s="4"/>
      <c r="C10" s="32" t="s">
        <v>1</v>
      </c>
      <c r="D10" s="33"/>
      <c r="E10" s="34"/>
      <c r="F10" s="32" t="s">
        <v>2</v>
      </c>
      <c r="G10" s="33"/>
      <c r="H10" s="34"/>
      <c r="I10" s="32" t="s">
        <v>3</v>
      </c>
      <c r="J10" s="33"/>
      <c r="K10" s="34"/>
      <c r="L10" s="50" t="s">
        <v>4</v>
      </c>
      <c r="M10" s="73" t="s">
        <v>5</v>
      </c>
      <c r="N10" s="52" t="s">
        <v>6</v>
      </c>
      <c r="O10" s="53"/>
      <c r="P10" s="54"/>
    </row>
    <row r="11" s="1" customFormat="1" ht="50" customHeight="1" spans="1:16">
      <c r="A11" s="8" t="s">
        <v>7</v>
      </c>
      <c r="B11" s="9" t="s">
        <v>8</v>
      </c>
      <c r="C11" s="35" t="s">
        <v>9</v>
      </c>
      <c r="D11" s="36" t="s">
        <v>10</v>
      </c>
      <c r="E11" s="37" t="s">
        <v>11</v>
      </c>
      <c r="F11" s="35" t="s">
        <v>9</v>
      </c>
      <c r="G11" s="36" t="s">
        <v>10</v>
      </c>
      <c r="H11" s="37" t="s">
        <v>11</v>
      </c>
      <c r="I11" s="35" t="s">
        <v>9</v>
      </c>
      <c r="J11" s="36" t="s">
        <v>10</v>
      </c>
      <c r="K11" s="37" t="s">
        <v>11</v>
      </c>
      <c r="L11" s="9"/>
      <c r="M11" s="74"/>
      <c r="N11" s="56" t="s">
        <v>12</v>
      </c>
      <c r="O11" s="57" t="s">
        <v>13</v>
      </c>
      <c r="P11" s="58" t="s">
        <v>11</v>
      </c>
    </row>
    <row r="12" spans="1:16">
      <c r="A12" s="11" t="s">
        <v>14</v>
      </c>
      <c r="B12" s="12" t="s">
        <v>15</v>
      </c>
      <c r="C12" s="13">
        <v>2404</v>
      </c>
      <c r="D12" s="14">
        <v>2159.26233</v>
      </c>
      <c r="E12" s="15">
        <f t="shared" ref="E12:E17" si="3">($C$12-D12)/$C$12</f>
        <v>0.101804355241265</v>
      </c>
      <c r="F12" s="13">
        <v>1590.989629</v>
      </c>
      <c r="G12" s="14">
        <v>1467.596254</v>
      </c>
      <c r="H12" s="15">
        <f t="shared" ref="H12:H17" si="4">($F$12-G12)/$F$12</f>
        <v>0.0775576237272882</v>
      </c>
      <c r="I12" s="13">
        <v>269.324889</v>
      </c>
      <c r="J12" s="14">
        <v>237.666075</v>
      </c>
      <c r="K12" s="15">
        <f t="shared" ref="K12:K17" si="5">(I12-J12)/I12</f>
        <v>0.117548786959678</v>
      </c>
      <c r="L12" s="59">
        <v>454</v>
      </c>
      <c r="M12" s="75">
        <f t="shared" si="1"/>
        <v>0.110068180090003</v>
      </c>
      <c r="N12" s="61">
        <v>44.176015</v>
      </c>
      <c r="O12" s="62">
        <v>38.983178</v>
      </c>
      <c r="P12" s="15">
        <f t="shared" si="2"/>
        <v>0.117548787503807</v>
      </c>
    </row>
    <row r="13" spans="1:16">
      <c r="A13" s="16"/>
      <c r="B13" s="17" t="s">
        <v>16</v>
      </c>
      <c r="C13" s="18">
        <v>2404</v>
      </c>
      <c r="D13" s="19">
        <v>2442.374331</v>
      </c>
      <c r="E13" s="20">
        <f t="shared" si="3"/>
        <v>-0.0159627000831947</v>
      </c>
      <c r="F13" s="18"/>
      <c r="G13" s="19">
        <v>1610.728707</v>
      </c>
      <c r="H13" s="20">
        <f t="shared" si="4"/>
        <v>-0.0124067923763946</v>
      </c>
      <c r="I13" s="18">
        <v>370.681167</v>
      </c>
      <c r="J13" s="19">
        <v>377.645624</v>
      </c>
      <c r="K13" s="20">
        <f t="shared" si="5"/>
        <v>-0.0187882677082431</v>
      </c>
      <c r="L13" s="22"/>
      <c r="M13" s="76">
        <f t="shared" si="1"/>
        <v>0.154622335817531</v>
      </c>
      <c r="N13" s="64">
        <v>60.800978</v>
      </c>
      <c r="O13" s="65">
        <v>61.943324</v>
      </c>
      <c r="P13" s="20">
        <f t="shared" si="2"/>
        <v>-0.0187882833068902</v>
      </c>
    </row>
    <row r="14" spans="1:16">
      <c r="A14" s="16"/>
      <c r="B14" s="17" t="s">
        <v>17</v>
      </c>
      <c r="C14" s="18">
        <v>2404</v>
      </c>
      <c r="D14" s="19">
        <v>2909.020802</v>
      </c>
      <c r="E14" s="20">
        <f t="shared" si="3"/>
        <v>-0.210075208818636</v>
      </c>
      <c r="F14" s="18"/>
      <c r="G14" s="19">
        <v>1859.220646</v>
      </c>
      <c r="H14" s="20">
        <f t="shared" si="4"/>
        <v>-0.168593818659015</v>
      </c>
      <c r="I14" s="18">
        <v>472.037444</v>
      </c>
      <c r="J14" s="19">
        <v>595.800156</v>
      </c>
      <c r="K14" s="20">
        <f t="shared" si="5"/>
        <v>-0.262188336059205</v>
      </c>
      <c r="L14" s="22"/>
      <c r="M14" s="76">
        <f t="shared" si="1"/>
        <v>0.204811239435063</v>
      </c>
      <c r="N14" s="64">
        <v>77.425942</v>
      </c>
      <c r="O14" s="65">
        <v>97.726121</v>
      </c>
      <c r="P14" s="20">
        <f t="shared" si="2"/>
        <v>-0.262188337340474</v>
      </c>
    </row>
    <row r="15" spans="1:16">
      <c r="A15" s="21" t="s">
        <v>18</v>
      </c>
      <c r="B15" s="22" t="s">
        <v>15</v>
      </c>
      <c r="C15" s="23"/>
      <c r="D15" s="24">
        <v>2190.79895</v>
      </c>
      <c r="E15" s="25">
        <f t="shared" si="3"/>
        <v>0.0886859608985025</v>
      </c>
      <c r="F15" s="23">
        <v>1598.032431</v>
      </c>
      <c r="G15" s="24">
        <v>1489.554143</v>
      </c>
      <c r="H15" s="25">
        <f>($F$15-G15)/$F$12</f>
        <v>0.0681829007698705</v>
      </c>
      <c r="I15" s="23">
        <v>280.733739</v>
      </c>
      <c r="J15" s="24">
        <v>247.244807</v>
      </c>
      <c r="K15" s="25">
        <f t="shared" si="5"/>
        <v>0.119290727645671</v>
      </c>
      <c r="L15" s="22"/>
      <c r="M15" s="77">
        <f t="shared" si="1"/>
        <v>0.11285600031897</v>
      </c>
      <c r="N15" s="67">
        <v>46.047351</v>
      </c>
      <c r="O15" s="68">
        <v>40.554329</v>
      </c>
      <c r="P15" s="25">
        <f t="shared" si="2"/>
        <v>0.119290727494835</v>
      </c>
    </row>
    <row r="16" spans="1:16">
      <c r="A16" s="21"/>
      <c r="B16" s="22" t="s">
        <v>16</v>
      </c>
      <c r="C16" s="23"/>
      <c r="D16" s="24">
        <v>2515.651697</v>
      </c>
      <c r="E16" s="25">
        <f t="shared" si="3"/>
        <v>-0.0464441335274542</v>
      </c>
      <c r="F16" s="23"/>
      <c r="G16" s="24">
        <v>1656.157021</v>
      </c>
      <c r="H16" s="25">
        <f>($F$15-G16)/$F$12</f>
        <v>-0.0365336070961905</v>
      </c>
      <c r="I16" s="23">
        <v>381.573401</v>
      </c>
      <c r="J16" s="24">
        <v>405.494676</v>
      </c>
      <c r="K16" s="25">
        <f t="shared" si="5"/>
        <v>-0.0626911491663436</v>
      </c>
      <c r="L16" s="22"/>
      <c r="M16" s="77">
        <f t="shared" si="1"/>
        <v>0.161188719600399</v>
      </c>
      <c r="N16" s="67">
        <v>62.587577</v>
      </c>
      <c r="O16" s="68">
        <v>66.511264</v>
      </c>
      <c r="P16" s="25">
        <f t="shared" ref="P16:P26" si="6">(N16-O16)/N16</f>
        <v>-0.0626911471584847</v>
      </c>
    </row>
    <row r="17" spans="1:16">
      <c r="A17" s="26"/>
      <c r="B17" s="27" t="s">
        <v>17</v>
      </c>
      <c r="C17" s="28"/>
      <c r="D17" s="29">
        <v>3217.608226</v>
      </c>
      <c r="E17" s="30">
        <f t="shared" si="3"/>
        <v>-0.338439361896839</v>
      </c>
      <c r="F17" s="28"/>
      <c r="G17" s="29">
        <v>2042.144806</v>
      </c>
      <c r="H17" s="30">
        <f>($F$15-G17)/$F$12</f>
        <v>-0.27914221872027</v>
      </c>
      <c r="I17" s="28">
        <v>482.413064</v>
      </c>
      <c r="J17" s="29">
        <v>721.463421</v>
      </c>
      <c r="K17" s="30">
        <f t="shared" si="5"/>
        <v>-0.495530438205546</v>
      </c>
      <c r="L17" s="27"/>
      <c r="M17" s="78">
        <f t="shared" si="1"/>
        <v>0.224223513344536</v>
      </c>
      <c r="N17" s="70">
        <v>79.127803</v>
      </c>
      <c r="O17" s="71">
        <v>118.338038</v>
      </c>
      <c r="P17" s="30">
        <f t="shared" si="6"/>
        <v>-0.495530439534635</v>
      </c>
    </row>
    <row r="18" ht="50" customHeight="1" spans="3:15">
      <c r="C18" s="31"/>
      <c r="D18" s="31"/>
      <c r="E18" s="31"/>
      <c r="F18" s="31"/>
      <c r="G18" s="31"/>
      <c r="H18" s="31"/>
      <c r="I18" s="31"/>
      <c r="J18" s="31"/>
      <c r="K18" s="31"/>
      <c r="N18" s="72"/>
      <c r="O18" s="72"/>
    </row>
    <row r="19" ht="31" customHeight="1" spans="1:16">
      <c r="A19" s="3" t="s">
        <v>20</v>
      </c>
      <c r="B19" s="4"/>
      <c r="C19" s="32" t="s">
        <v>1</v>
      </c>
      <c r="D19" s="33"/>
      <c r="E19" s="34"/>
      <c r="F19" s="32" t="s">
        <v>2</v>
      </c>
      <c r="G19" s="33"/>
      <c r="H19" s="34"/>
      <c r="I19" s="32" t="s">
        <v>3</v>
      </c>
      <c r="J19" s="33"/>
      <c r="K19" s="34"/>
      <c r="L19" s="50" t="s">
        <v>4</v>
      </c>
      <c r="M19" s="73" t="s">
        <v>5</v>
      </c>
      <c r="N19" s="52" t="s">
        <v>6</v>
      </c>
      <c r="O19" s="53"/>
      <c r="P19" s="54"/>
    </row>
    <row r="20" s="1" customFormat="1" ht="50" customHeight="1" spans="1:16">
      <c r="A20" s="8" t="s">
        <v>7</v>
      </c>
      <c r="B20" s="9" t="s">
        <v>8</v>
      </c>
      <c r="C20" s="35" t="s">
        <v>9</v>
      </c>
      <c r="D20" s="36" t="s">
        <v>10</v>
      </c>
      <c r="E20" s="37" t="s">
        <v>11</v>
      </c>
      <c r="F20" s="35" t="s">
        <v>9</v>
      </c>
      <c r="G20" s="36" t="s">
        <v>10</v>
      </c>
      <c r="H20" s="37" t="s">
        <v>11</v>
      </c>
      <c r="I20" s="79" t="s">
        <v>9</v>
      </c>
      <c r="J20" s="80" t="s">
        <v>10</v>
      </c>
      <c r="K20" s="81" t="s">
        <v>11</v>
      </c>
      <c r="L20" s="9"/>
      <c r="M20" s="74"/>
      <c r="N20" s="56" t="s">
        <v>12</v>
      </c>
      <c r="O20" s="57" t="s">
        <v>13</v>
      </c>
      <c r="P20" s="58" t="s">
        <v>11</v>
      </c>
    </row>
    <row r="21" spans="1:16">
      <c r="A21" s="11" t="s">
        <v>14</v>
      </c>
      <c r="B21" s="12" t="s">
        <v>15</v>
      </c>
      <c r="C21" s="13">
        <v>3350</v>
      </c>
      <c r="D21" s="38">
        <v>2357.737606</v>
      </c>
      <c r="E21" s="39">
        <f t="shared" ref="E21:E26" si="7">($C$21-D21)/$C$21</f>
        <v>0.296197729552239</v>
      </c>
      <c r="F21" s="40">
        <v>2003.143456</v>
      </c>
      <c r="G21" s="38">
        <v>1576.611167</v>
      </c>
      <c r="H21" s="39">
        <f>($F$21-G21)/$F$21</f>
        <v>0.212931474140013</v>
      </c>
      <c r="I21" s="40">
        <v>438.894369</v>
      </c>
      <c r="J21" s="38">
        <v>327.126439</v>
      </c>
      <c r="K21" s="39">
        <f t="shared" ref="K21:K26" si="8">(I21-J21)/I21</f>
        <v>0.254657926586431</v>
      </c>
      <c r="L21" s="82">
        <v>454</v>
      </c>
      <c r="M21" s="83">
        <f t="shared" ref="M21:M26" si="9">J21/D21</f>
        <v>0.13874590546782</v>
      </c>
      <c r="N21" s="84">
        <v>71.989649</v>
      </c>
      <c r="O21" s="85">
        <v>53.656914</v>
      </c>
      <c r="P21" s="39">
        <f t="shared" si="6"/>
        <v>0.254657930058806</v>
      </c>
    </row>
    <row r="22" spans="1:16">
      <c r="A22" s="16"/>
      <c r="B22" s="17" t="s">
        <v>16</v>
      </c>
      <c r="C22" s="18">
        <v>3350</v>
      </c>
      <c r="D22" s="41">
        <v>2675.686272</v>
      </c>
      <c r="E22" s="42">
        <f t="shared" si="7"/>
        <v>0.20128768</v>
      </c>
      <c r="F22" s="43"/>
      <c r="G22" s="41">
        <v>1709.470979</v>
      </c>
      <c r="H22" s="42">
        <f>($F$21-G22)/$F$21</f>
        <v>0.146605814037115</v>
      </c>
      <c r="I22" s="43">
        <v>618.897613</v>
      </c>
      <c r="J22" s="41">
        <v>512.215293</v>
      </c>
      <c r="K22" s="42">
        <f t="shared" si="8"/>
        <v>0.172374747872876</v>
      </c>
      <c r="L22" s="86"/>
      <c r="M22" s="87">
        <f t="shared" si="9"/>
        <v>0.1914332402719</v>
      </c>
      <c r="N22" s="88">
        <v>101.514681</v>
      </c>
      <c r="O22" s="89">
        <v>84.016113</v>
      </c>
      <c r="P22" s="42">
        <f t="shared" si="6"/>
        <v>0.172374752376949</v>
      </c>
    </row>
    <row r="23" ht="14" customHeight="1" spans="1:16">
      <c r="A23" s="16"/>
      <c r="B23" s="17" t="s">
        <v>17</v>
      </c>
      <c r="C23" s="18">
        <v>3350</v>
      </c>
      <c r="D23" s="41">
        <v>3080.453876</v>
      </c>
      <c r="E23" s="42">
        <f t="shared" si="7"/>
        <v>0.0804615295522388</v>
      </c>
      <c r="F23" s="43"/>
      <c r="G23" s="41">
        <v>1883.765517</v>
      </c>
      <c r="H23" s="42">
        <f>($F$21-G23)/$F$21</f>
        <v>0.0595953018953426</v>
      </c>
      <c r="I23" s="43">
        <v>798.900857</v>
      </c>
      <c r="J23" s="41">
        <v>742.68836</v>
      </c>
      <c r="K23" s="42">
        <f t="shared" si="8"/>
        <v>0.0703622940286819</v>
      </c>
      <c r="L23" s="86"/>
      <c r="M23" s="90" t="s">
        <v>21</v>
      </c>
      <c r="N23" s="88">
        <v>131.039713</v>
      </c>
      <c r="O23" s="41">
        <v>121.819458</v>
      </c>
      <c r="P23" s="42">
        <f t="shared" si="6"/>
        <v>0.0703622954363461</v>
      </c>
    </row>
    <row r="24" spans="1:16">
      <c r="A24" s="21" t="s">
        <v>18</v>
      </c>
      <c r="B24" s="22" t="s">
        <v>15</v>
      </c>
      <c r="C24" s="23"/>
      <c r="D24" s="44">
        <v>2305.662891</v>
      </c>
      <c r="E24" s="45">
        <f t="shared" si="7"/>
        <v>0.311742420597015</v>
      </c>
      <c r="F24" s="46">
        <v>2011.675804</v>
      </c>
      <c r="G24" s="44">
        <v>1560.787908</v>
      </c>
      <c r="H24" s="45">
        <f>($F$24-G24)/$F$21</f>
        <v>0.225090167481245</v>
      </c>
      <c r="I24" s="46">
        <v>418.487963</v>
      </c>
      <c r="J24" s="44">
        <v>290.874983</v>
      </c>
      <c r="K24" s="45">
        <f t="shared" si="8"/>
        <v>0.304938233074102</v>
      </c>
      <c r="L24" s="86"/>
      <c r="M24" s="91">
        <f t="shared" si="9"/>
        <v>0.126156769983769</v>
      </c>
      <c r="N24" s="92">
        <v>68.642488</v>
      </c>
      <c r="O24" s="93">
        <v>47.710769</v>
      </c>
      <c r="P24" s="45">
        <f t="shared" si="6"/>
        <v>0.304938233008104</v>
      </c>
    </row>
    <row r="25" spans="1:16">
      <c r="A25" s="21"/>
      <c r="B25" s="22" t="s">
        <v>16</v>
      </c>
      <c r="C25" s="23"/>
      <c r="D25" s="44">
        <v>2613.470211</v>
      </c>
      <c r="E25" s="45">
        <f t="shared" si="7"/>
        <v>0.219859638507463</v>
      </c>
      <c r="F25" s="46"/>
      <c r="G25" s="44">
        <v>1689.640108</v>
      </c>
      <c r="H25" s="45">
        <f>($F$24-G25)/$F$21</f>
        <v>0.160765168882642</v>
      </c>
      <c r="I25" s="46">
        <v>594.683776</v>
      </c>
      <c r="J25" s="94">
        <v>469.830102</v>
      </c>
      <c r="K25" s="45">
        <f t="shared" si="8"/>
        <v>0.209949689295038</v>
      </c>
      <c r="L25" s="86"/>
      <c r="M25" s="91">
        <f t="shared" si="9"/>
        <v>0.179772510902364</v>
      </c>
      <c r="N25" s="92">
        <v>97.543006</v>
      </c>
      <c r="O25" s="93">
        <v>77.063883</v>
      </c>
      <c r="P25" s="45">
        <f t="shared" si="6"/>
        <v>0.209949681066831</v>
      </c>
    </row>
    <row r="26" spans="1:16">
      <c r="A26" s="26"/>
      <c r="B26" s="27" t="s">
        <v>17</v>
      </c>
      <c r="C26" s="28"/>
      <c r="D26" s="47">
        <v>3008.032898</v>
      </c>
      <c r="E26" s="48">
        <f t="shared" si="7"/>
        <v>0.102079731940299</v>
      </c>
      <c r="F26" s="49"/>
      <c r="G26" s="47">
        <v>1859.690574</v>
      </c>
      <c r="H26" s="48">
        <f>($F$24-G26)/$F$21</f>
        <v>0.0758733627113724</v>
      </c>
      <c r="I26" s="49">
        <v>770.879588</v>
      </c>
      <c r="J26" s="47">
        <v>694.342324</v>
      </c>
      <c r="K26" s="48">
        <f t="shared" si="8"/>
        <v>0.0992856279909698</v>
      </c>
      <c r="L26" s="95"/>
      <c r="M26" s="96" t="s">
        <v>21</v>
      </c>
      <c r="N26" s="97">
        <v>126.443524</v>
      </c>
      <c r="O26" s="47">
        <v>113.8895</v>
      </c>
      <c r="P26" s="48">
        <f t="shared" si="6"/>
        <v>0.0992856225677481</v>
      </c>
    </row>
  </sheetData>
  <mergeCells count="30">
    <mergeCell ref="A1:B1"/>
    <mergeCell ref="C1:E1"/>
    <mergeCell ref="F1:H1"/>
    <mergeCell ref="I1:K1"/>
    <mergeCell ref="N1:P1"/>
    <mergeCell ref="A10:B10"/>
    <mergeCell ref="C10:E10"/>
    <mergeCell ref="F10:H10"/>
    <mergeCell ref="I10:K10"/>
    <mergeCell ref="N10:P10"/>
    <mergeCell ref="A19:B19"/>
    <mergeCell ref="C19:E19"/>
    <mergeCell ref="F19:H19"/>
    <mergeCell ref="I19:K19"/>
    <mergeCell ref="N19:P19"/>
    <mergeCell ref="A3:A5"/>
    <mergeCell ref="A6:A8"/>
    <mergeCell ref="A12:A14"/>
    <mergeCell ref="A15:A17"/>
    <mergeCell ref="A21:A23"/>
    <mergeCell ref="A24:A26"/>
    <mergeCell ref="L1:L2"/>
    <mergeCell ref="L3:L8"/>
    <mergeCell ref="L10:L11"/>
    <mergeCell ref="L12:L17"/>
    <mergeCell ref="L19:L20"/>
    <mergeCell ref="L21:L26"/>
    <mergeCell ref="M1:M2"/>
    <mergeCell ref="M10:M11"/>
    <mergeCell ref="M19:M2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2025-11-12T03:49:52Z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CB9ACDF485AD4BA8BEC45605E866A220_12</vt:lpwstr>
  </property>
  <property fmtid="{D5CDD505-2E9C-101B-9397-08002B2CF9AE}" pid="3" name="KSOProductBuildVer">
    <vt:lpwstr>1033-12.2.0.23155</vt:lpwstr>
  </property>
</Properties>
</file>